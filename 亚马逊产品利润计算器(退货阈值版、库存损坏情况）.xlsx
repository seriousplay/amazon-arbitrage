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31"/>
  <workbookPr/>
  <mc:AlternateContent xmlns:mc="http://schemas.openxmlformats.org/markup-compatibility/2006">
    <mc:Choice Requires="x15">
      <x15ac:absPath xmlns:x15ac="http://schemas.microsoft.com/office/spreadsheetml/2010/11/ac" url="C:\Users\admin\Desktop\亚马逊\2025版运营工具礼包\"/>
    </mc:Choice>
  </mc:AlternateContent>
  <xr:revisionPtr revIDLastSave="0" documentId="13_ncr:1_{BF1567D6-A90C-4377-B07C-CC4EFCF2470F}" xr6:coauthVersionLast="47" xr6:coauthVersionMax="47" xr10:uidLastSave="{00000000-0000-0000-0000-000000000000}"/>
  <bookViews>
    <workbookView xWindow="-645" yWindow="240" windowWidth="35145" windowHeight="18735" xr2:uid="{00000000-000D-0000-FFFF-FFFF00000000}"/>
  </bookViews>
  <sheets>
    <sheet name="产品利润计算" sheetId="1" r:id="rId1"/>
    <sheet name="类目退货阈值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45" i="1" l="1"/>
  <c r="H46" i="1" s="1"/>
  <c r="H44" i="1"/>
  <c r="D40" i="1"/>
  <c r="H28" i="1"/>
  <c r="H29" i="1" s="1"/>
  <c r="D24" i="1"/>
  <c r="D11" i="1"/>
  <c r="D12" i="1" s="1"/>
  <c r="H10" i="1" l="1"/>
  <c r="L9" i="1" s="1"/>
  <c r="L26" i="1"/>
  <c r="Q24" i="1"/>
  <c r="H30" i="1"/>
  <c r="L42" i="1"/>
  <c r="Q40" i="1"/>
  <c r="H13" i="1" l="1"/>
</calcChain>
</file>

<file path=xl/sharedStrings.xml><?xml version="1.0" encoding="utf-8"?>
<sst xmlns="http://schemas.openxmlformats.org/spreadsheetml/2006/main" count="128" uniqueCount="74">
  <si>
    <t>FBM自发货产品利润计算器</t>
  </si>
  <si>
    <t>了解详情请加微信：zhiyick</t>
  </si>
  <si>
    <t>点此查看使用教程</t>
  </si>
  <si>
    <t>运费计算</t>
  </si>
  <si>
    <t>成本计算</t>
  </si>
  <si>
    <t>利润计算</t>
  </si>
  <si>
    <r>
      <rPr>
        <sz val="12"/>
        <color theme="1"/>
        <rFont val="微软雅黑"/>
        <family val="2"/>
        <charset val="134"/>
      </rPr>
      <t>运费单价</t>
    </r>
    <r>
      <rPr>
        <sz val="9"/>
        <color theme="1"/>
        <rFont val="微软雅黑"/>
        <family val="2"/>
        <charset val="134"/>
      </rPr>
      <t>（单位：元/千克）</t>
    </r>
  </si>
  <si>
    <r>
      <rPr>
        <sz val="12"/>
        <color theme="1"/>
        <rFont val="微软雅黑"/>
        <family val="2"/>
        <charset val="134"/>
      </rPr>
      <t>采购/生产成本</t>
    </r>
    <r>
      <rPr>
        <sz val="9"/>
        <color theme="1"/>
        <rFont val="微软雅黑"/>
        <family val="2"/>
        <charset val="134"/>
      </rPr>
      <t>（单位：元）</t>
    </r>
  </si>
  <si>
    <r>
      <rPr>
        <sz val="12"/>
        <color theme="1"/>
        <rFont val="微软雅黑"/>
        <family val="2"/>
        <charset val="134"/>
      </rPr>
      <t>汇率</t>
    </r>
    <r>
      <rPr>
        <sz val="9"/>
        <color theme="1"/>
        <rFont val="微软雅黑"/>
        <family val="2"/>
        <charset val="134"/>
      </rPr>
      <t>(单位:1:X)</t>
    </r>
  </si>
  <si>
    <t>荣誉出品</t>
  </si>
  <si>
    <r>
      <rPr>
        <sz val="12"/>
        <color theme="1"/>
        <rFont val="微软雅黑"/>
        <family val="2"/>
        <charset val="134"/>
      </rPr>
      <t>产品重量</t>
    </r>
    <r>
      <rPr>
        <sz val="9"/>
        <color theme="1"/>
        <rFont val="微软雅黑"/>
        <family val="2"/>
        <charset val="134"/>
      </rPr>
      <t>（单位：千克）</t>
    </r>
  </si>
  <si>
    <r>
      <rPr>
        <sz val="12"/>
        <color theme="1"/>
        <rFont val="微软雅黑"/>
        <family val="2"/>
        <charset val="134"/>
      </rPr>
      <t>类目佣金</t>
    </r>
    <r>
      <rPr>
        <sz val="9"/>
        <color theme="1"/>
        <rFont val="微软雅黑"/>
        <family val="2"/>
        <charset val="134"/>
      </rPr>
      <t>（单位：%）</t>
    </r>
  </si>
  <si>
    <r>
      <rPr>
        <sz val="12"/>
        <color theme="1"/>
        <rFont val="微软雅黑"/>
        <family val="2"/>
        <charset val="134"/>
      </rPr>
      <t>售价</t>
    </r>
    <r>
      <rPr>
        <sz val="9"/>
        <color theme="1"/>
        <rFont val="微软雅黑"/>
        <family val="2"/>
        <charset val="134"/>
      </rPr>
      <t>（单位：美金）</t>
    </r>
  </si>
  <si>
    <r>
      <rPr>
        <sz val="12"/>
        <color theme="1"/>
        <rFont val="微软雅黑"/>
        <family val="2"/>
        <charset val="134"/>
      </rPr>
      <t>挂号费</t>
    </r>
    <r>
      <rPr>
        <sz val="9"/>
        <color theme="1"/>
        <rFont val="微软雅黑"/>
        <family val="2"/>
        <charset val="134"/>
      </rPr>
      <t>（单位：元）</t>
    </r>
  </si>
  <si>
    <r>
      <rPr>
        <sz val="12"/>
        <color theme="1"/>
        <rFont val="微软雅黑"/>
        <family val="2"/>
        <charset val="134"/>
      </rPr>
      <t>退货率</t>
    </r>
    <r>
      <rPr>
        <sz val="9"/>
        <color theme="1"/>
        <rFont val="微软雅黑"/>
        <family val="2"/>
        <charset val="134"/>
      </rPr>
      <t>（单位：%）</t>
    </r>
  </si>
  <si>
    <r>
      <rPr>
        <sz val="12"/>
        <color theme="1"/>
        <rFont val="微软雅黑"/>
        <family val="2"/>
        <charset val="134"/>
      </rPr>
      <t>利润</t>
    </r>
    <r>
      <rPr>
        <sz val="9"/>
        <color theme="1"/>
        <rFont val="微软雅黑"/>
        <family val="2"/>
        <charset val="134"/>
      </rPr>
      <t>（单位：元）</t>
    </r>
  </si>
  <si>
    <t>使用表格遇到问题联系微信：zhiyisxy</t>
  </si>
  <si>
    <r>
      <rPr>
        <sz val="12"/>
        <color theme="1"/>
        <rFont val="微软雅黑"/>
        <family val="2"/>
        <charset val="134"/>
      </rPr>
      <t>国内运费</t>
    </r>
    <r>
      <rPr>
        <sz val="9"/>
        <color theme="1"/>
        <rFont val="微软雅黑"/>
        <family val="2"/>
        <charset val="134"/>
      </rPr>
      <t>（单位：元）</t>
    </r>
  </si>
  <si>
    <r>
      <rPr>
        <sz val="12"/>
        <color theme="1"/>
        <rFont val="微软雅黑"/>
        <family val="2"/>
        <charset val="134"/>
      </rPr>
      <t>平均退货费用</t>
    </r>
    <r>
      <rPr>
        <sz val="9"/>
        <color theme="1"/>
        <rFont val="微软雅黑"/>
        <family val="2"/>
        <charset val="134"/>
      </rPr>
      <t>（单位：元）</t>
    </r>
  </si>
  <si>
    <r>
      <rPr>
        <sz val="12"/>
        <color theme="1"/>
        <rFont val="微软雅黑"/>
        <family val="2"/>
        <charset val="134"/>
      </rPr>
      <t>国际运费</t>
    </r>
    <r>
      <rPr>
        <sz val="9"/>
        <color theme="1"/>
        <rFont val="微软雅黑"/>
        <family val="2"/>
        <charset val="134"/>
      </rPr>
      <t>（单位：元）</t>
    </r>
  </si>
  <si>
    <r>
      <rPr>
        <sz val="12"/>
        <color theme="1"/>
        <rFont val="微软雅黑"/>
        <family val="2"/>
        <charset val="134"/>
      </rPr>
      <t>VAT费用</t>
    </r>
    <r>
      <rPr>
        <sz val="9"/>
        <color theme="1"/>
        <rFont val="微软雅黑"/>
        <family val="2"/>
        <charset val="134"/>
      </rPr>
      <t>（单位：%）</t>
    </r>
  </si>
  <si>
    <t>本计算器由知易电商出品,使用表格遇到问题联系微信：zhiyisxy</t>
  </si>
  <si>
    <r>
      <rPr>
        <sz val="12"/>
        <color theme="1"/>
        <rFont val="微软雅黑"/>
        <family val="2"/>
        <charset val="134"/>
      </rPr>
      <t>总运费</t>
    </r>
    <r>
      <rPr>
        <sz val="9"/>
        <color theme="1"/>
        <rFont val="微软雅黑"/>
        <family val="2"/>
        <charset val="134"/>
      </rPr>
      <t>（单位：元）</t>
    </r>
  </si>
  <si>
    <r>
      <rPr>
        <sz val="12"/>
        <color theme="1"/>
        <rFont val="微软雅黑"/>
        <family val="2"/>
        <charset val="134"/>
      </rPr>
      <t>其他杂费</t>
    </r>
    <r>
      <rPr>
        <sz val="9"/>
        <color theme="1"/>
        <rFont val="微软雅黑"/>
        <family val="2"/>
        <charset val="134"/>
      </rPr>
      <t>（单位：%）</t>
    </r>
  </si>
  <si>
    <r>
      <rPr>
        <sz val="12"/>
        <color theme="1"/>
        <rFont val="微软雅黑"/>
        <family val="2"/>
        <charset val="134"/>
      </rPr>
      <t>总成本</t>
    </r>
    <r>
      <rPr>
        <sz val="9"/>
        <color theme="1"/>
        <rFont val="微软雅黑"/>
        <family val="2"/>
        <charset val="134"/>
      </rPr>
      <t>（单位：元）</t>
    </r>
  </si>
  <si>
    <r>
      <rPr>
        <b/>
        <sz val="12"/>
        <rFont val="阿里巴巴普惠体"/>
        <charset val="134"/>
      </rPr>
      <t>↑↑扫描</t>
    </r>
    <r>
      <rPr>
        <b/>
        <sz val="12"/>
        <color rgb="FFFF0000"/>
        <rFont val="阿里巴巴普惠体"/>
        <charset val="134"/>
      </rPr>
      <t>上方微信二维码</t>
    </r>
    <r>
      <rPr>
        <b/>
        <sz val="12"/>
        <rFont val="阿里巴巴普惠体"/>
        <charset val="134"/>
      </rPr>
      <t>获取使用教程↑↑</t>
    </r>
  </si>
  <si>
    <t>FBA亚马逊物流产品利润计算器（未损坏）</t>
  </si>
  <si>
    <t>头程运费计算</t>
  </si>
  <si>
    <t>FBA费用计算</t>
  </si>
  <si>
    <r>
      <rPr>
        <sz val="12"/>
        <color theme="1"/>
        <rFont val="微软雅黑"/>
        <family val="2"/>
        <charset val="134"/>
      </rPr>
      <t>尾程配送费</t>
    </r>
    <r>
      <rPr>
        <sz val="9"/>
        <color theme="1"/>
        <rFont val="微软雅黑"/>
        <family val="2"/>
        <charset val="134"/>
      </rPr>
      <t>（单位：美元）</t>
    </r>
  </si>
  <si>
    <r>
      <rPr>
        <sz val="12"/>
        <color theme="1"/>
        <rFont val="微软雅黑"/>
        <family val="2"/>
        <charset val="134"/>
      </rPr>
      <t>合仓费</t>
    </r>
    <r>
      <rPr>
        <sz val="9"/>
        <color theme="1"/>
        <rFont val="微软雅黑"/>
        <family val="2"/>
        <charset val="134"/>
      </rPr>
      <t>（单位：美元）</t>
    </r>
  </si>
  <si>
    <r>
      <rPr>
        <sz val="12"/>
        <color theme="1"/>
        <rFont val="微软雅黑"/>
        <family val="2"/>
        <charset val="134"/>
      </rPr>
      <t>广告费用占比</t>
    </r>
    <r>
      <rPr>
        <sz val="9"/>
        <color theme="1"/>
        <rFont val="微软雅黑"/>
        <family val="2"/>
        <charset val="134"/>
      </rPr>
      <t>（单位：%）</t>
    </r>
  </si>
  <si>
    <r>
      <rPr>
        <sz val="12"/>
        <color theme="1"/>
        <rFont val="微软雅黑"/>
        <family val="2"/>
        <charset val="134"/>
      </rPr>
      <t>头程运费</t>
    </r>
    <r>
      <rPr>
        <sz val="9"/>
        <color theme="1"/>
        <rFont val="微软雅黑"/>
        <family val="2"/>
        <charset val="134"/>
      </rPr>
      <t>（单位：元）</t>
    </r>
  </si>
  <si>
    <r>
      <rPr>
        <sz val="12"/>
        <color theme="1"/>
        <rFont val="微软雅黑"/>
        <family val="2"/>
        <charset val="134"/>
      </rPr>
      <t>尾程退货费</t>
    </r>
    <r>
      <rPr>
        <sz val="9"/>
        <color theme="1"/>
        <rFont val="微软雅黑"/>
        <family val="2"/>
        <charset val="134"/>
      </rPr>
      <t>（单位：美元）</t>
    </r>
  </si>
  <si>
    <r>
      <rPr>
        <sz val="12"/>
        <color theme="1"/>
        <rFont val="微软雅黑"/>
        <family val="2"/>
        <charset val="134"/>
      </rPr>
      <t>类目退货阈值</t>
    </r>
    <r>
      <rPr>
        <sz val="9"/>
        <color theme="1"/>
        <rFont val="微软雅黑"/>
        <family val="2"/>
        <charset val="134"/>
      </rPr>
      <t>（单位：%）</t>
    </r>
  </si>
  <si>
    <r>
      <rPr>
        <sz val="12"/>
        <color theme="1"/>
        <rFont val="微软雅黑"/>
        <family val="2"/>
        <charset val="134"/>
      </rPr>
      <t>退货阈值差</t>
    </r>
    <r>
      <rPr>
        <sz val="9"/>
        <color theme="1"/>
        <rFont val="微软雅黑"/>
        <family val="2"/>
        <charset val="134"/>
      </rPr>
      <t>（单位：%）</t>
    </r>
  </si>
  <si>
    <r>
      <rPr>
        <sz val="12"/>
        <color theme="1"/>
        <rFont val="微软雅黑"/>
        <family val="2"/>
        <charset val="134"/>
      </rPr>
      <t>FBA总费用</t>
    </r>
    <r>
      <rPr>
        <sz val="9"/>
        <color theme="1"/>
        <rFont val="微软雅黑"/>
        <family val="2"/>
        <charset val="134"/>
      </rPr>
      <t>（单位：元）</t>
    </r>
  </si>
  <si>
    <t>FBA亚马逊物流产品利润计算器（已损坏）</t>
  </si>
  <si>
    <t>分类</t>
  </si>
  <si>
    <t>退货率阈值</t>
  </si>
  <si>
    <t>（2024 年 6 月 1 日生效）</t>
  </si>
  <si>
    <t>亚马逊设备配件</t>
  </si>
  <si>
    <t>汽车用品</t>
  </si>
  <si>
    <t>母婴</t>
  </si>
  <si>
    <t>背包、手提包和箱包</t>
  </si>
  <si>
    <t>基础设备电动工具</t>
  </si>
  <si>
    <t>美妆和个护健康</t>
  </si>
  <si>
    <t>商业、工业与科学用品</t>
  </si>
  <si>
    <t>小型电器</t>
  </si>
  <si>
    <t>电脑</t>
  </si>
  <si>
    <t>消费类电子产品</t>
  </si>
  <si>
    <r>
      <rPr>
        <sz val="8"/>
        <color rgb="FF002F36"/>
        <rFont val="Arial"/>
        <family val="2"/>
      </rPr>
      <t>电子产品配件</t>
    </r>
    <r>
      <rPr>
        <vertAlign val="superscript"/>
        <sz val="8"/>
        <color rgb="FF002F36"/>
        <rFont val="Arial"/>
        <family val="2"/>
      </rPr>
      <t>1</t>
    </r>
  </si>
  <si>
    <r>
      <rPr>
        <sz val="8"/>
        <color rgb="FF002F36"/>
        <rFont val="Arial"/>
        <family val="2"/>
      </rPr>
      <t>所有其他分类</t>
    </r>
    <r>
      <rPr>
        <vertAlign val="superscript"/>
        <sz val="8"/>
        <color rgb="FF002F36"/>
        <rFont val="Arial"/>
        <family val="2"/>
      </rPr>
      <t>2</t>
    </r>
  </si>
  <si>
    <t>眼镜</t>
  </si>
  <si>
    <t>艺术品</t>
  </si>
  <si>
    <t>全尺寸电器</t>
  </si>
  <si>
    <t>家具</t>
  </si>
  <si>
    <t>食品</t>
  </si>
  <si>
    <t>家居及厨房用品</t>
  </si>
  <si>
    <t>珠宝首饰</t>
  </si>
  <si>
    <t>草坪和花园</t>
  </si>
  <si>
    <t>割草机和除雪机</t>
  </si>
  <si>
    <t>床垫</t>
  </si>
  <si>
    <t>媒介类商品 - 图书、DVD、音乐、软件、视频</t>
  </si>
  <si>
    <t>乐器和影音制作</t>
  </si>
  <si>
    <t>办公用品</t>
  </si>
  <si>
    <t>宠物用品</t>
  </si>
  <si>
    <t>运动户外</t>
  </si>
  <si>
    <t>轮胎</t>
  </si>
  <si>
    <t>工具和家居装修</t>
  </si>
  <si>
    <t>玩具和游戏</t>
  </si>
  <si>
    <t>视频游戏机</t>
  </si>
  <si>
    <t>视频游戏和游戏配件</t>
  </si>
  <si>
    <t>钟表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</si>
</sst>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76" formatCode="0.00_ "/>
    <numFmt numFmtId="177" formatCode="0.00;[Red]0.00"/>
    <numFmt numFmtId="178" formatCode="0.00_);\(0.00\)"/>
    <numFmt numFmtId="179" formatCode="0.0%"/>
    <numFmt numFmtId="180" formatCode="0.00_ ;[Red]\-0.00\ "/>
    <numFmt numFmtId="181" formatCode="0.00_);[Red]\(0.00\)"/>
  </numFmts>
  <fonts count="25">
    <font>
      <sz val="11"/>
      <color theme="1"/>
      <name val="宋体"/>
      <charset val="134"/>
      <scheme val="minor"/>
    </font>
    <font>
      <b/>
      <sz val="8"/>
      <color rgb="FF002F36"/>
      <name val="Arial"/>
      <family val="2"/>
    </font>
    <font>
      <sz val="9"/>
      <color rgb="FF002F36"/>
      <name val="Arial"/>
      <family val="2"/>
    </font>
    <font>
      <sz val="8"/>
      <color rgb="FF002F36"/>
      <name val="Arial"/>
      <family val="2"/>
    </font>
    <font>
      <sz val="16"/>
      <color theme="1"/>
      <name val="宋体"/>
      <family val="3"/>
      <charset val="134"/>
      <scheme val="minor"/>
    </font>
    <font>
      <b/>
      <sz val="18"/>
      <color rgb="FFFE7100"/>
      <name val="微软雅黑"/>
      <family val="2"/>
      <charset val="134"/>
    </font>
    <font>
      <sz val="12"/>
      <color theme="0"/>
      <name val="微软雅黑"/>
      <family val="2"/>
      <charset val="134"/>
    </font>
    <font>
      <b/>
      <sz val="16"/>
      <color theme="0"/>
      <name val="宋体"/>
      <family val="3"/>
      <charset val="134"/>
      <scheme val="minor"/>
    </font>
    <font>
      <sz val="12"/>
      <color theme="1"/>
      <name val="微软雅黑"/>
      <family val="2"/>
      <charset val="134"/>
    </font>
    <font>
      <sz val="11"/>
      <color theme="1"/>
      <name val="微软雅黑"/>
      <family val="2"/>
      <charset val="134"/>
    </font>
    <font>
      <b/>
      <sz val="18"/>
      <color rgb="FF002060"/>
      <name val="微软雅黑"/>
      <family val="2"/>
      <charset val="134"/>
    </font>
    <font>
      <sz val="11"/>
      <color theme="0"/>
      <name val="宋体"/>
      <family val="3"/>
      <charset val="134"/>
      <scheme val="minor"/>
    </font>
    <font>
      <sz val="12"/>
      <color rgb="FFE7E6E6"/>
      <name val="微软雅黑"/>
      <family val="2"/>
      <charset val="134"/>
    </font>
    <font>
      <b/>
      <sz val="18"/>
      <color theme="1"/>
      <name val="微软雅黑"/>
      <family val="2"/>
      <charset val="134"/>
    </font>
    <font>
      <sz val="12"/>
      <color theme="1"/>
      <name val="宋体"/>
      <family val="3"/>
      <charset val="134"/>
      <scheme val="minor"/>
    </font>
    <font>
      <b/>
      <sz val="20"/>
      <color rgb="FFFF0000"/>
      <name val="微软雅黑"/>
      <family val="2"/>
      <charset val="134"/>
    </font>
    <font>
      <sz val="11"/>
      <color rgb="FFFF0000"/>
      <name val="宋体"/>
      <family val="3"/>
      <charset val="134"/>
      <scheme val="minor"/>
    </font>
    <font>
      <b/>
      <sz val="12"/>
      <name val="阿里巴巴普惠体"/>
      <charset val="134"/>
    </font>
    <font>
      <b/>
      <sz val="12"/>
      <color rgb="FFFF0000"/>
      <name val="阿里巴巴普惠体"/>
      <charset val="134"/>
    </font>
    <font>
      <sz val="11"/>
      <color rgb="FFE7E6E6"/>
      <name val="宋体"/>
      <family val="3"/>
      <charset val="134"/>
      <scheme val="minor"/>
    </font>
    <font>
      <b/>
      <sz val="18"/>
      <color theme="0"/>
      <name val="微软雅黑"/>
      <family val="2"/>
      <charset val="134"/>
    </font>
    <font>
      <u/>
      <sz val="11"/>
      <color rgb="FF0000FF"/>
      <name val="宋体"/>
      <family val="3"/>
      <charset val="134"/>
      <scheme val="minor"/>
    </font>
    <font>
      <vertAlign val="superscript"/>
      <sz val="8"/>
      <color rgb="FF002F36"/>
      <name val="Arial"/>
      <family val="2"/>
    </font>
    <font>
      <sz val="9"/>
      <color theme="1"/>
      <name val="微软雅黑"/>
      <family val="2"/>
      <charset val="134"/>
    </font>
    <font>
      <sz val="9"/>
      <name val="宋体"/>
      <family val="3"/>
      <charset val="134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E7E7E7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E7E6E6"/>
        <bgColor indexed="64"/>
      </patternFill>
    </fill>
    <fill>
      <patternFill patternType="solid">
        <fgColor rgb="FF3B1F55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EF0101"/>
        <bgColor indexed="64"/>
      </patternFill>
    </fill>
    <fill>
      <patternFill patternType="solid">
        <fgColor rgb="FFFE7100"/>
        <bgColor indexed="64"/>
      </patternFill>
    </fill>
    <fill>
      <patternFill patternType="solid">
        <fgColor theme="4" tint="-0.249977111117893"/>
        <bgColor indexed="64"/>
      </patternFill>
    </fill>
  </fills>
  <borders count="28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/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 style="double">
        <color auto="1"/>
      </top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 style="thick">
        <color auto="1"/>
      </left>
      <right/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/>
      <right style="thick">
        <color auto="1"/>
      </right>
      <top/>
      <bottom/>
      <diagonal/>
    </border>
    <border>
      <left/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/>
      <right style="medium">
        <color auto="1"/>
      </right>
      <top/>
      <bottom/>
      <diagonal/>
    </border>
  </borders>
  <cellStyleXfs count="2">
    <xf numFmtId="0" fontId="0" fillId="0" borderId="0">
      <alignment vertical="center"/>
    </xf>
    <xf numFmtId="0" fontId="21" fillId="0" borderId="0" applyNumberFormat="0" applyFill="0" applyBorder="0" applyAlignment="0" applyProtection="0">
      <alignment vertical="center"/>
    </xf>
  </cellStyleXfs>
  <cellXfs count="120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10" fontId="3" fillId="3" borderId="3" xfId="0" applyNumberFormat="1" applyFont="1" applyFill="1" applyBorder="1" applyAlignment="1">
      <alignment horizontal="center" vertical="center" wrapText="1"/>
    </xf>
    <xf numFmtId="0" fontId="4" fillId="4" borderId="0" xfId="0" applyFont="1" applyFill="1">
      <alignment vertical="center"/>
    </xf>
    <xf numFmtId="0" fontId="0" fillId="4" borderId="0" xfId="0" applyFill="1">
      <alignment vertical="center"/>
    </xf>
    <xf numFmtId="0" fontId="0" fillId="5" borderId="9" xfId="0" applyFill="1" applyBorder="1">
      <alignment vertical="center"/>
    </xf>
    <xf numFmtId="0" fontId="0" fillId="5" borderId="10" xfId="0" applyFill="1" applyBorder="1">
      <alignment vertical="center"/>
    </xf>
    <xf numFmtId="0" fontId="4" fillId="5" borderId="11" xfId="0" applyFont="1" applyFill="1" applyBorder="1">
      <alignment vertical="center"/>
    </xf>
    <xf numFmtId="0" fontId="4" fillId="5" borderId="8" xfId="0" applyFont="1" applyFill="1" applyBorder="1" applyAlignment="1">
      <alignment horizontal="center" vertical="center"/>
    </xf>
    <xf numFmtId="0" fontId="4" fillId="5" borderId="7" xfId="0" applyFont="1" applyFill="1" applyBorder="1" applyAlignment="1">
      <alignment horizontal="center" vertical="center"/>
    </xf>
    <xf numFmtId="0" fontId="0" fillId="5" borderId="11" xfId="0" applyFill="1" applyBorder="1">
      <alignment vertical="center"/>
    </xf>
    <xf numFmtId="0" fontId="0" fillId="5" borderId="0" xfId="0" applyFill="1" applyAlignment="1">
      <alignment horizontal="center" vertical="center"/>
    </xf>
    <xf numFmtId="0" fontId="0" fillId="5" borderId="8" xfId="0" applyFill="1" applyBorder="1" applyAlignment="1">
      <alignment horizontal="center" vertical="center"/>
    </xf>
    <xf numFmtId="0" fontId="0" fillId="5" borderId="7" xfId="0" applyFill="1" applyBorder="1" applyAlignment="1">
      <alignment horizontal="center" vertical="center"/>
    </xf>
    <xf numFmtId="0" fontId="8" fillId="5" borderId="0" xfId="0" applyFont="1" applyFill="1" applyAlignment="1">
      <alignment horizontal="left" vertical="center"/>
    </xf>
    <xf numFmtId="0" fontId="8" fillId="0" borderId="12" xfId="0" applyFont="1" applyBorder="1" applyAlignment="1" applyProtection="1">
      <alignment horizontal="center" vertical="center"/>
      <protection locked="0"/>
    </xf>
    <xf numFmtId="0" fontId="9" fillId="5" borderId="8" xfId="0" applyFont="1" applyFill="1" applyBorder="1">
      <alignment vertical="center"/>
    </xf>
    <xf numFmtId="0" fontId="9" fillId="5" borderId="7" xfId="0" applyFont="1" applyFill="1" applyBorder="1">
      <alignment vertical="center"/>
    </xf>
    <xf numFmtId="0" fontId="8" fillId="5" borderId="0" xfId="0" applyFont="1" applyFill="1">
      <alignment vertical="center"/>
    </xf>
    <xf numFmtId="9" fontId="8" fillId="0" borderId="12" xfId="0" applyNumberFormat="1" applyFont="1" applyBorder="1" applyAlignment="1" applyProtection="1">
      <alignment horizontal="center" vertical="center"/>
      <protection locked="0"/>
    </xf>
    <xf numFmtId="9" fontId="8" fillId="0" borderId="13" xfId="0" applyNumberFormat="1" applyFont="1" applyBorder="1" applyAlignment="1" applyProtection="1">
      <alignment horizontal="center" vertical="center"/>
      <protection locked="0"/>
    </xf>
    <xf numFmtId="0" fontId="8" fillId="4" borderId="13" xfId="0" applyFont="1" applyFill="1" applyBorder="1" applyAlignment="1" applyProtection="1">
      <alignment horizontal="center" vertical="center"/>
      <protection locked="0"/>
    </xf>
    <xf numFmtId="177" fontId="8" fillId="5" borderId="0" xfId="0" applyNumberFormat="1" applyFont="1" applyFill="1" applyAlignment="1">
      <alignment horizontal="center" vertical="center"/>
    </xf>
    <xf numFmtId="0" fontId="8" fillId="5" borderId="0" xfId="0" applyFont="1" applyFill="1" applyAlignment="1">
      <alignment horizontal="center" vertical="center"/>
    </xf>
    <xf numFmtId="9" fontId="8" fillId="5" borderId="0" xfId="0" applyNumberFormat="1" applyFont="1" applyFill="1" applyAlignment="1">
      <alignment horizontal="center" vertical="center"/>
    </xf>
    <xf numFmtId="0" fontId="9" fillId="5" borderId="0" xfId="0" applyFont="1" applyFill="1">
      <alignment vertical="center"/>
    </xf>
    <xf numFmtId="0" fontId="8" fillId="8" borderId="0" xfId="0" applyFont="1" applyFill="1">
      <alignment vertical="center"/>
    </xf>
    <xf numFmtId="176" fontId="8" fillId="8" borderId="0" xfId="0" applyNumberFormat="1" applyFont="1" applyFill="1" applyAlignment="1">
      <alignment horizontal="center" vertical="center"/>
    </xf>
    <xf numFmtId="0" fontId="0" fillId="5" borderId="14" xfId="0" applyFill="1" applyBorder="1">
      <alignment vertical="center"/>
    </xf>
    <xf numFmtId="0" fontId="0" fillId="5" borderId="15" xfId="0" applyFill="1" applyBorder="1">
      <alignment vertical="center"/>
    </xf>
    <xf numFmtId="0" fontId="11" fillId="4" borderId="0" xfId="0" applyFont="1" applyFill="1">
      <alignment vertical="center"/>
    </xf>
    <xf numFmtId="0" fontId="0" fillId="5" borderId="0" xfId="0" applyFill="1">
      <alignment vertical="center"/>
    </xf>
    <xf numFmtId="178" fontId="8" fillId="0" borderId="12" xfId="0" applyNumberFormat="1" applyFont="1" applyBorder="1" applyAlignment="1" applyProtection="1">
      <alignment horizontal="center" vertical="center"/>
      <protection locked="0"/>
    </xf>
    <xf numFmtId="0" fontId="9" fillId="5" borderId="18" xfId="0" applyFont="1" applyFill="1" applyBorder="1" applyAlignment="1">
      <alignment horizontal="center" vertical="center"/>
    </xf>
    <xf numFmtId="10" fontId="8" fillId="0" borderId="13" xfId="0" applyNumberFormat="1" applyFont="1" applyBorder="1" applyAlignment="1" applyProtection="1">
      <alignment horizontal="center" vertical="center"/>
      <protection locked="0"/>
    </xf>
    <xf numFmtId="178" fontId="8" fillId="0" borderId="13" xfId="0" applyNumberFormat="1" applyFont="1" applyBorder="1" applyAlignment="1" applyProtection="1">
      <alignment horizontal="center" vertical="center"/>
      <protection locked="0"/>
    </xf>
    <xf numFmtId="179" fontId="8" fillId="0" borderId="12" xfId="0" applyNumberFormat="1" applyFont="1" applyBorder="1" applyAlignment="1" applyProtection="1">
      <alignment horizontal="center" vertical="center"/>
      <protection locked="0"/>
    </xf>
    <xf numFmtId="179" fontId="8" fillId="5" borderId="0" xfId="0" applyNumberFormat="1" applyFont="1" applyFill="1" applyAlignment="1">
      <alignment horizontal="center" vertical="center"/>
    </xf>
    <xf numFmtId="178" fontId="9" fillId="5" borderId="0" xfId="0" applyNumberFormat="1" applyFont="1" applyFill="1" applyAlignment="1">
      <alignment horizontal="center" vertical="center"/>
    </xf>
    <xf numFmtId="178" fontId="8" fillId="5" borderId="0" xfId="0" applyNumberFormat="1" applyFont="1" applyFill="1" applyAlignment="1">
      <alignment horizontal="center" vertical="center"/>
    </xf>
    <xf numFmtId="0" fontId="11" fillId="0" borderId="0" xfId="0" applyFont="1">
      <alignment vertical="center"/>
    </xf>
    <xf numFmtId="0" fontId="14" fillId="4" borderId="0" xfId="0" applyFont="1" applyFill="1">
      <alignment vertical="center"/>
    </xf>
    <xf numFmtId="0" fontId="0" fillId="8" borderId="10" xfId="0" applyFill="1" applyBorder="1">
      <alignment vertical="center"/>
    </xf>
    <xf numFmtId="0" fontId="0" fillId="4" borderId="11" xfId="0" applyFill="1" applyBorder="1">
      <alignment vertical="center"/>
    </xf>
    <xf numFmtId="0" fontId="7" fillId="8" borderId="0" xfId="0" applyFont="1" applyFill="1" applyAlignment="1">
      <alignment horizontal="center" vertical="center"/>
    </xf>
    <xf numFmtId="0" fontId="4" fillId="4" borderId="11" xfId="0" applyFont="1" applyFill="1" applyBorder="1">
      <alignment vertical="center"/>
    </xf>
    <xf numFmtId="0" fontId="0" fillId="8" borderId="0" xfId="0" applyFill="1" applyAlignment="1">
      <alignment horizontal="center" vertical="center"/>
    </xf>
    <xf numFmtId="0" fontId="8" fillId="0" borderId="13" xfId="0" applyFont="1" applyBorder="1" applyAlignment="1" applyProtection="1">
      <alignment horizontal="center" vertical="center"/>
      <protection locked="0"/>
    </xf>
    <xf numFmtId="180" fontId="8" fillId="5" borderId="0" xfId="0" applyNumberFormat="1" applyFont="1" applyFill="1" applyAlignment="1">
      <alignment horizontal="center" vertical="center"/>
    </xf>
    <xf numFmtId="0" fontId="0" fillId="8" borderId="0" xfId="0" applyFill="1">
      <alignment vertical="center"/>
    </xf>
    <xf numFmtId="181" fontId="9" fillId="5" borderId="0" xfId="0" applyNumberFormat="1" applyFont="1" applyFill="1">
      <alignment vertical="center"/>
    </xf>
    <xf numFmtId="0" fontId="7" fillId="8" borderId="8" xfId="0" applyFont="1" applyFill="1" applyBorder="1" applyAlignment="1">
      <alignment horizontal="center" vertical="center"/>
    </xf>
    <xf numFmtId="0" fontId="0" fillId="5" borderId="7" xfId="0" applyFill="1" applyBorder="1">
      <alignment vertical="center"/>
    </xf>
    <xf numFmtId="0" fontId="0" fillId="8" borderId="8" xfId="0" applyFill="1" applyBorder="1" applyAlignment="1">
      <alignment horizontal="center" vertical="center"/>
    </xf>
    <xf numFmtId="0" fontId="8" fillId="4" borderId="12" xfId="0" applyFont="1" applyFill="1" applyBorder="1" applyAlignment="1" applyProtection="1">
      <alignment horizontal="center" vertical="center"/>
      <protection locked="0"/>
    </xf>
    <xf numFmtId="9" fontId="8" fillId="4" borderId="12" xfId="0" applyNumberFormat="1" applyFont="1" applyFill="1" applyBorder="1" applyAlignment="1" applyProtection="1">
      <alignment horizontal="center" vertical="center"/>
      <protection locked="0"/>
    </xf>
    <xf numFmtId="9" fontId="9" fillId="0" borderId="12" xfId="0" applyNumberFormat="1" applyFont="1" applyBorder="1" applyAlignment="1" applyProtection="1">
      <alignment horizontal="center" vertical="center"/>
      <protection locked="0"/>
    </xf>
    <xf numFmtId="9" fontId="9" fillId="5" borderId="0" xfId="0" applyNumberFormat="1" applyFont="1" applyFill="1" applyAlignment="1">
      <alignment horizontal="center" vertical="center"/>
    </xf>
    <xf numFmtId="180" fontId="9" fillId="5" borderId="0" xfId="0" applyNumberFormat="1" applyFont="1" applyFill="1" applyAlignment="1">
      <alignment horizontal="center" vertical="center"/>
    </xf>
    <xf numFmtId="180" fontId="9" fillId="5" borderId="0" xfId="0" applyNumberFormat="1" applyFont="1" applyFill="1">
      <alignment vertical="center"/>
    </xf>
    <xf numFmtId="0" fontId="0" fillId="5" borderId="16" xfId="0" applyFill="1" applyBorder="1">
      <alignment vertical="center"/>
    </xf>
    <xf numFmtId="0" fontId="0" fillId="5" borderId="27" xfId="0" applyFill="1" applyBorder="1">
      <alignment vertical="center"/>
    </xf>
    <xf numFmtId="0" fontId="0" fillId="5" borderId="17" xfId="0" applyFill="1" applyBorder="1">
      <alignment vertical="center"/>
    </xf>
    <xf numFmtId="0" fontId="19" fillId="5" borderId="0" xfId="0" applyFont="1" applyFill="1" applyAlignment="1">
      <alignment horizontal="center" vertical="center" wrapText="1"/>
    </xf>
    <xf numFmtId="0" fontId="11" fillId="4" borderId="19" xfId="0" applyFont="1" applyFill="1" applyBorder="1" applyAlignment="1">
      <alignment horizontal="center" vertical="center"/>
    </xf>
    <xf numFmtId="0" fontId="11" fillId="4" borderId="22" xfId="0" applyFont="1" applyFill="1" applyBorder="1" applyAlignment="1">
      <alignment horizontal="center" vertical="center"/>
    </xf>
    <xf numFmtId="0" fontId="11" fillId="4" borderId="20" xfId="0" applyFont="1" applyFill="1" applyBorder="1" applyAlignment="1">
      <alignment horizontal="center" vertical="center"/>
    </xf>
    <xf numFmtId="0" fontId="11" fillId="4" borderId="0" xfId="0" applyFont="1" applyFill="1" applyAlignment="1">
      <alignment horizontal="center" vertical="center"/>
    </xf>
    <xf numFmtId="0" fontId="11" fillId="4" borderId="21" xfId="0" applyFont="1" applyFill="1" applyBorder="1" applyAlignment="1">
      <alignment horizontal="center" vertical="center"/>
    </xf>
    <xf numFmtId="0" fontId="11" fillId="4" borderId="25" xfId="0" applyFont="1" applyFill="1" applyBorder="1" applyAlignment="1">
      <alignment horizontal="center" vertical="center"/>
    </xf>
    <xf numFmtId="0" fontId="20" fillId="12" borderId="19" xfId="1" applyFont="1" applyFill="1" applyBorder="1" applyAlignment="1" applyProtection="1">
      <alignment horizontal="center" vertical="center" wrapText="1"/>
    </xf>
    <xf numFmtId="0" fontId="20" fillId="12" borderId="23" xfId="1" applyFont="1" applyFill="1" applyBorder="1" applyAlignment="1" applyProtection="1">
      <alignment horizontal="center" vertical="center" wrapText="1"/>
    </xf>
    <xf numFmtId="0" fontId="20" fillId="12" borderId="20" xfId="1" applyFont="1" applyFill="1" applyBorder="1" applyAlignment="1" applyProtection="1">
      <alignment horizontal="center" vertical="center" wrapText="1"/>
    </xf>
    <xf numFmtId="0" fontId="20" fillId="12" borderId="24" xfId="1" applyFont="1" applyFill="1" applyBorder="1" applyAlignment="1" applyProtection="1">
      <alignment horizontal="center" vertical="center" wrapText="1"/>
    </xf>
    <xf numFmtId="0" fontId="20" fillId="12" borderId="21" xfId="1" applyFont="1" applyFill="1" applyBorder="1" applyAlignment="1" applyProtection="1">
      <alignment horizontal="center" vertical="center" wrapText="1"/>
    </xf>
    <xf numFmtId="0" fontId="20" fillId="12" borderId="26" xfId="1" applyFont="1" applyFill="1" applyBorder="1" applyAlignment="1" applyProtection="1">
      <alignment horizontal="center" vertical="center" wrapText="1"/>
    </xf>
    <xf numFmtId="0" fontId="0" fillId="4" borderId="19" xfId="0" applyFill="1" applyBorder="1" applyAlignment="1">
      <alignment horizontal="center" vertical="center"/>
    </xf>
    <xf numFmtId="0" fontId="0" fillId="4" borderId="22" xfId="0" applyFill="1" applyBorder="1" applyAlignment="1">
      <alignment horizontal="center" vertical="center"/>
    </xf>
    <xf numFmtId="0" fontId="0" fillId="4" borderId="20" xfId="0" applyFill="1" applyBorder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15" fillId="4" borderId="20" xfId="0" applyFont="1" applyFill="1" applyBorder="1" applyAlignment="1">
      <alignment horizontal="center" vertical="center"/>
    </xf>
    <xf numFmtId="0" fontId="16" fillId="4" borderId="0" xfId="0" applyFont="1" applyFill="1" applyAlignment="1">
      <alignment horizontal="center" vertical="center"/>
    </xf>
    <xf numFmtId="0" fontId="16" fillId="4" borderId="20" xfId="0" applyFont="1" applyFill="1" applyBorder="1" applyAlignment="1">
      <alignment horizontal="center" vertical="center"/>
    </xf>
    <xf numFmtId="0" fontId="17" fillId="4" borderId="20" xfId="0" applyFont="1" applyFill="1" applyBorder="1" applyAlignment="1">
      <alignment horizontal="center" vertical="center"/>
    </xf>
    <xf numFmtId="0" fontId="18" fillId="4" borderId="0" xfId="0" applyFont="1" applyFill="1" applyAlignment="1">
      <alignment horizontal="center" vertical="center"/>
    </xf>
    <xf numFmtId="0" fontId="18" fillId="4" borderId="24" xfId="0" applyFont="1" applyFill="1" applyBorder="1" applyAlignment="1">
      <alignment horizontal="center" vertical="center"/>
    </xf>
    <xf numFmtId="0" fontId="18" fillId="4" borderId="21" xfId="0" applyFont="1" applyFill="1" applyBorder="1" applyAlignment="1">
      <alignment horizontal="center" vertical="center"/>
    </xf>
    <xf numFmtId="0" fontId="18" fillId="4" borderId="25" xfId="0" applyFont="1" applyFill="1" applyBorder="1" applyAlignment="1">
      <alignment horizontal="center" vertical="center"/>
    </xf>
    <xf numFmtId="0" fontId="18" fillId="4" borderId="26" xfId="0" applyFont="1" applyFill="1" applyBorder="1" applyAlignment="1">
      <alignment horizontal="center" vertical="center"/>
    </xf>
    <xf numFmtId="0" fontId="7" fillId="10" borderId="0" xfId="0" applyFont="1" applyFill="1" applyAlignment="1">
      <alignment horizontal="center" vertical="center"/>
    </xf>
    <xf numFmtId="0" fontId="12" fillId="5" borderId="0" xfId="0" applyFont="1" applyFill="1" applyAlignment="1">
      <alignment horizontal="center" vertical="center" wrapText="1"/>
    </xf>
    <xf numFmtId="0" fontId="5" fillId="4" borderId="4" xfId="0" applyFont="1" applyFill="1" applyBorder="1" applyAlignment="1">
      <alignment horizontal="center" vertical="center"/>
    </xf>
    <xf numFmtId="0" fontId="5" fillId="4" borderId="5" xfId="0" applyFont="1" applyFill="1" applyBorder="1" applyAlignment="1">
      <alignment horizontal="center" vertical="center"/>
    </xf>
    <xf numFmtId="0" fontId="5" fillId="4" borderId="6" xfId="0" applyFont="1" applyFill="1" applyBorder="1" applyAlignment="1">
      <alignment horizontal="center" vertical="center"/>
    </xf>
    <xf numFmtId="0" fontId="5" fillId="4" borderId="7" xfId="0" applyFont="1" applyFill="1" applyBorder="1" applyAlignment="1">
      <alignment horizontal="center" vertical="center"/>
    </xf>
    <xf numFmtId="0" fontId="5" fillId="4" borderId="0" xfId="0" applyFont="1" applyFill="1" applyAlignment="1">
      <alignment horizontal="center" vertical="center"/>
    </xf>
    <xf numFmtId="0" fontId="5" fillId="4" borderId="8" xfId="0" applyFont="1" applyFill="1" applyBorder="1" applyAlignment="1">
      <alignment horizontal="center" vertical="center"/>
    </xf>
    <xf numFmtId="0" fontId="6" fillId="4" borderId="0" xfId="0" applyFont="1" applyFill="1" applyAlignment="1">
      <alignment horizontal="center" vertical="center"/>
    </xf>
    <xf numFmtId="0" fontId="10" fillId="4" borderId="9" xfId="0" applyFont="1" applyFill="1" applyBorder="1" applyAlignment="1">
      <alignment vertical="center" wrapText="1"/>
    </xf>
    <xf numFmtId="0" fontId="10" fillId="4" borderId="10" xfId="0" applyFont="1" applyFill="1" applyBorder="1">
      <alignment vertical="center"/>
    </xf>
    <xf numFmtId="0" fontId="10" fillId="4" borderId="16" xfId="0" applyFont="1" applyFill="1" applyBorder="1">
      <alignment vertical="center"/>
    </xf>
    <xf numFmtId="0" fontId="10" fillId="4" borderId="14" xfId="0" applyFont="1" applyFill="1" applyBorder="1">
      <alignment vertical="center"/>
    </xf>
    <xf numFmtId="0" fontId="10" fillId="4" borderId="15" xfId="0" applyFont="1" applyFill="1" applyBorder="1">
      <alignment vertical="center"/>
    </xf>
    <xf numFmtId="0" fontId="10" fillId="4" borderId="17" xfId="0" applyFont="1" applyFill="1" applyBorder="1">
      <alignment vertical="center"/>
    </xf>
    <xf numFmtId="0" fontId="7" fillId="6" borderId="0" xfId="0" applyFont="1" applyFill="1" applyAlignment="1">
      <alignment horizontal="center" vertical="center"/>
    </xf>
    <xf numFmtId="0" fontId="4" fillId="6" borderId="0" xfId="0" applyFont="1" applyFill="1" applyAlignment="1">
      <alignment horizontal="center" vertical="center"/>
    </xf>
    <xf numFmtId="0" fontId="7" fillId="9" borderId="0" xfId="0" applyFont="1" applyFill="1" applyAlignment="1">
      <alignment horizontal="center" vertical="center"/>
    </xf>
    <xf numFmtId="0" fontId="7" fillId="11" borderId="0" xfId="0" applyFont="1" applyFill="1" applyAlignment="1">
      <alignment horizontal="center" vertical="center"/>
    </xf>
    <xf numFmtId="0" fontId="13" fillId="4" borderId="9" xfId="0" applyFont="1" applyFill="1" applyBorder="1" applyAlignment="1">
      <alignment horizontal="center" vertical="center"/>
    </xf>
    <xf numFmtId="0" fontId="13" fillId="4" borderId="10" xfId="0" applyFont="1" applyFill="1" applyBorder="1" applyAlignment="1">
      <alignment horizontal="center" vertical="center"/>
    </xf>
    <xf numFmtId="0" fontId="13" fillId="4" borderId="16" xfId="0" applyFont="1" applyFill="1" applyBorder="1" applyAlignment="1">
      <alignment horizontal="center" vertical="center"/>
    </xf>
    <xf numFmtId="0" fontId="13" fillId="4" borderId="14" xfId="0" applyFont="1" applyFill="1" applyBorder="1" applyAlignment="1">
      <alignment horizontal="center" vertical="center"/>
    </xf>
    <xf numFmtId="0" fontId="13" fillId="4" borderId="15" xfId="0" applyFont="1" applyFill="1" applyBorder="1" applyAlignment="1">
      <alignment horizontal="center" vertical="center"/>
    </xf>
    <xf numFmtId="0" fontId="13" fillId="4" borderId="17" xfId="0" applyFont="1" applyFill="1" applyBorder="1" applyAlignment="1">
      <alignment horizontal="center" vertical="center"/>
    </xf>
    <xf numFmtId="0" fontId="7" fillId="7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colors>
    <mruColors>
      <color rgb="FFE7E6E6"/>
      <color rgb="FFA70101"/>
      <color rgb="FF25B113"/>
      <color rgb="FFCB0101"/>
      <color rgb="FF3E1F30"/>
      <color rgb="FF177D7E"/>
      <color rgb="FF51962B"/>
      <color rgb="FFC09F03"/>
      <color rgb="FFEF0101"/>
      <color rgb="FFFE7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647700</xdr:colOff>
      <xdr:row>8</xdr:row>
      <xdr:rowOff>114935</xdr:rowOff>
    </xdr:from>
    <xdr:to>
      <xdr:col>16</xdr:col>
      <xdr:colOff>638810</xdr:colOff>
      <xdr:row>12</xdr:row>
      <xdr:rowOff>262255</xdr:rowOff>
    </xdr:to>
    <xdr:pic>
      <xdr:nvPicPr>
        <xdr:cNvPr id="6" name="图片 5" descr="亚马逊二维码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 t="4804" b="3708"/>
        <a:stretch>
          <a:fillRect/>
        </a:stretch>
      </xdr:blipFill>
      <xdr:spPr>
        <a:xfrm>
          <a:off x="11188700" y="2002790"/>
          <a:ext cx="1413510" cy="1313180"/>
        </a:xfrm>
        <a:prstGeom prst="rect">
          <a:avLst/>
        </a:prstGeom>
      </xdr:spPr>
    </xdr:pic>
    <xdr:clientData/>
  </xdr:twoCellAnchor>
  <xdr:twoCellAnchor editAs="oneCell">
    <xdr:from>
      <xdr:col>15</xdr:col>
      <xdr:colOff>198755</xdr:colOff>
      <xdr:row>3</xdr:row>
      <xdr:rowOff>46990</xdr:rowOff>
    </xdr:from>
    <xdr:to>
      <xdr:col>17</xdr:col>
      <xdr:colOff>62230</xdr:colOff>
      <xdr:row>6</xdr:row>
      <xdr:rowOff>69850</xdr:rowOff>
    </xdr:to>
    <xdr:pic>
      <xdr:nvPicPr>
        <xdr:cNvPr id="3" name="图片 2" descr="横版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739755" y="626110"/>
          <a:ext cx="2098675" cy="74866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http://www.zhiyixt.com/course/32/task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Y52"/>
  <sheetViews>
    <sheetView tabSelected="1" topLeftCell="A7" workbookViewId="0">
      <selection activeCell="D22" sqref="D22"/>
    </sheetView>
  </sheetViews>
  <sheetFormatPr defaultColWidth="9" defaultRowHeight="13.5"/>
  <cols>
    <col min="1" max="1" width="9" style="7"/>
    <col min="2" max="2" width="3.625" style="7" customWidth="1"/>
    <col min="3" max="3" width="24.875" style="7" customWidth="1"/>
    <col min="4" max="4" width="10.75" style="7" customWidth="1"/>
    <col min="5" max="6" width="2.875" style="7" customWidth="1"/>
    <col min="7" max="7" width="24.25" style="7" customWidth="1"/>
    <col min="8" max="8" width="10.75" style="7" customWidth="1"/>
    <col min="9" max="10" width="2.875" style="7" customWidth="1"/>
    <col min="11" max="11" width="22.75" style="7" customWidth="1"/>
    <col min="12" max="12" width="10.625" style="7" customWidth="1"/>
    <col min="13" max="13" width="2.5" style="7" customWidth="1"/>
    <col min="14" max="15" width="3.75" style="7" customWidth="1"/>
    <col min="16" max="16" width="18.625" style="7" customWidth="1"/>
    <col min="17" max="17" width="10.625" style="7" customWidth="1"/>
    <col min="18" max="20" width="3.375" style="7" customWidth="1"/>
    <col min="21" max="21" width="2.75" style="7" customWidth="1"/>
    <col min="22" max="22" width="12.625" style="7"/>
    <col min="23" max="16384" width="9" style="7"/>
  </cols>
  <sheetData>
    <row r="2" spans="2:25" ht="16.149999999999999" customHeight="1">
      <c r="B2" s="94" t="s">
        <v>0</v>
      </c>
      <c r="C2" s="95"/>
      <c r="D2" s="95"/>
      <c r="E2" s="95"/>
      <c r="F2" s="96"/>
      <c r="G2" s="100" t="s">
        <v>1</v>
      </c>
      <c r="H2" s="100"/>
      <c r="I2" s="100"/>
      <c r="J2" s="100"/>
      <c r="K2" s="100"/>
      <c r="L2" s="44"/>
      <c r="M2" s="44"/>
      <c r="N2" s="44"/>
      <c r="P2" s="33" t="s">
        <v>1</v>
      </c>
    </row>
    <row r="3" spans="2:25" ht="16.149999999999999" customHeight="1">
      <c r="B3" s="97"/>
      <c r="C3" s="98"/>
      <c r="D3" s="98"/>
      <c r="E3" s="98"/>
      <c r="F3" s="99"/>
      <c r="G3" s="100"/>
      <c r="H3" s="100"/>
      <c r="I3" s="100"/>
      <c r="J3" s="100"/>
      <c r="K3" s="100"/>
      <c r="L3" s="44"/>
      <c r="M3" s="44"/>
      <c r="N3" s="44"/>
      <c r="W3" s="33"/>
    </row>
    <row r="4" spans="2:25" ht="13.15" customHeight="1">
      <c r="B4" s="8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45"/>
      <c r="O4" s="46"/>
      <c r="P4" s="79"/>
      <c r="Q4" s="80"/>
      <c r="R4" s="80"/>
      <c r="S4" s="73" t="s">
        <v>2</v>
      </c>
      <c r="T4" s="74"/>
      <c r="W4" s="33" t="s">
        <v>1</v>
      </c>
    </row>
    <row r="5" spans="2:25" s="6" customFormat="1" ht="34.15" customHeight="1">
      <c r="B5" s="10"/>
      <c r="C5" s="107" t="s">
        <v>3</v>
      </c>
      <c r="D5" s="108"/>
      <c r="E5" s="11"/>
      <c r="F5" s="12"/>
      <c r="G5" s="117" t="s">
        <v>4</v>
      </c>
      <c r="H5" s="117"/>
      <c r="I5" s="11"/>
      <c r="J5" s="12"/>
      <c r="K5" s="92" t="s">
        <v>5</v>
      </c>
      <c r="L5" s="92"/>
      <c r="M5" s="92"/>
      <c r="N5" s="47"/>
      <c r="O5" s="48"/>
      <c r="P5" s="81"/>
      <c r="Q5" s="82"/>
      <c r="R5" s="82"/>
      <c r="S5" s="75"/>
      <c r="T5" s="76"/>
      <c r="U5" s="7"/>
      <c r="V5" s="7"/>
      <c r="W5" s="33"/>
      <c r="X5" s="7"/>
      <c r="Y5" s="7"/>
    </row>
    <row r="6" spans="2:25" ht="10.15" customHeight="1">
      <c r="B6" s="13"/>
      <c r="C6" s="14"/>
      <c r="D6" s="14"/>
      <c r="E6" s="15"/>
      <c r="F6" s="16"/>
      <c r="G6" s="14"/>
      <c r="H6" s="14"/>
      <c r="I6" s="15"/>
      <c r="J6" s="16"/>
      <c r="K6" s="14"/>
      <c r="L6" s="14"/>
      <c r="M6" s="14"/>
      <c r="N6" s="49"/>
      <c r="O6" s="46"/>
      <c r="P6" s="81"/>
      <c r="Q6" s="82"/>
      <c r="R6" s="82"/>
      <c r="S6" s="75"/>
      <c r="T6" s="76"/>
      <c r="W6" s="33"/>
    </row>
    <row r="7" spans="2:25" ht="22.9" customHeight="1">
      <c r="B7" s="13"/>
      <c r="C7" s="17" t="s">
        <v>6</v>
      </c>
      <c r="D7" s="18">
        <v>20</v>
      </c>
      <c r="E7" s="19"/>
      <c r="F7" s="20"/>
      <c r="G7" s="21" t="s">
        <v>7</v>
      </c>
      <c r="H7" s="18">
        <v>4</v>
      </c>
      <c r="I7" s="19"/>
      <c r="J7" s="20"/>
      <c r="K7" s="21" t="s">
        <v>8</v>
      </c>
      <c r="L7" s="18">
        <v>7.2</v>
      </c>
      <c r="M7" s="28"/>
      <c r="N7" s="28"/>
      <c r="O7" s="46"/>
      <c r="P7" s="83" t="s">
        <v>9</v>
      </c>
      <c r="Q7" s="84"/>
      <c r="R7" s="84"/>
      <c r="S7" s="75"/>
      <c r="T7" s="76"/>
      <c r="W7" s="33" t="s">
        <v>1</v>
      </c>
    </row>
    <row r="8" spans="2:25" ht="22.9" customHeight="1">
      <c r="B8" s="13"/>
      <c r="C8" s="21" t="s">
        <v>10</v>
      </c>
      <c r="D8" s="18">
        <v>0.15</v>
      </c>
      <c r="E8" s="19"/>
      <c r="F8" s="20"/>
      <c r="G8" s="21" t="s">
        <v>11</v>
      </c>
      <c r="H8" s="22">
        <v>0.15</v>
      </c>
      <c r="I8" s="19"/>
      <c r="J8" s="20"/>
      <c r="K8" s="21" t="s">
        <v>12</v>
      </c>
      <c r="L8" s="50">
        <v>9.6</v>
      </c>
      <c r="M8" s="28"/>
      <c r="N8" s="28"/>
      <c r="O8" s="46"/>
      <c r="P8" s="85"/>
      <c r="Q8" s="84"/>
      <c r="R8" s="84"/>
      <c r="S8" s="75"/>
      <c r="T8" s="76"/>
      <c r="W8" s="33"/>
    </row>
    <row r="9" spans="2:25" ht="22.9" customHeight="1">
      <c r="B9" s="13"/>
      <c r="C9" s="21" t="s">
        <v>13</v>
      </c>
      <c r="D9" s="18">
        <v>22</v>
      </c>
      <c r="E9" s="19"/>
      <c r="F9" s="20"/>
      <c r="G9" s="21" t="s">
        <v>14</v>
      </c>
      <c r="H9" s="23">
        <v>2.3E-2</v>
      </c>
      <c r="I9" s="19"/>
      <c r="J9" s="20"/>
      <c r="K9" s="21" t="s">
        <v>15</v>
      </c>
      <c r="L9" s="51">
        <f>L8*(1-H8-H11-H12)*L7-D12-H7-H10</f>
        <v>28.346107199999999</v>
      </c>
      <c r="M9" s="28"/>
      <c r="N9" s="28"/>
      <c r="O9" s="46"/>
      <c r="P9" s="67" t="s">
        <v>16</v>
      </c>
      <c r="Q9" s="68"/>
      <c r="R9" s="68"/>
      <c r="S9" s="75"/>
      <c r="T9" s="76"/>
      <c r="W9" s="33"/>
    </row>
    <row r="10" spans="2:25" ht="22.9" customHeight="1">
      <c r="B10" s="13"/>
      <c r="C10" s="21" t="s">
        <v>17</v>
      </c>
      <c r="D10" s="24">
        <v>0</v>
      </c>
      <c r="E10" s="19"/>
      <c r="F10" s="20"/>
      <c r="G10" s="21" t="s">
        <v>18</v>
      </c>
      <c r="H10" s="25">
        <f>(H7+D12+L8*H8*0.2*L7)*H9</f>
        <v>0.71469280000000002</v>
      </c>
      <c r="I10" s="19"/>
      <c r="J10" s="20"/>
      <c r="K10" s="52"/>
      <c r="L10" s="52"/>
      <c r="M10" s="28"/>
      <c r="N10" s="28"/>
      <c r="O10" s="46"/>
      <c r="P10" s="69"/>
      <c r="Q10" s="70"/>
      <c r="R10" s="70"/>
      <c r="S10" s="75"/>
      <c r="T10" s="76"/>
      <c r="W10" s="33"/>
    </row>
    <row r="11" spans="2:25" ht="22.9" customHeight="1">
      <c r="B11" s="13"/>
      <c r="C11" s="21" t="s">
        <v>19</v>
      </c>
      <c r="D11" s="26">
        <f>(D7*D8)+D9</f>
        <v>25</v>
      </c>
      <c r="E11" s="19"/>
      <c r="F11" s="20"/>
      <c r="G11" s="21" t="s">
        <v>20</v>
      </c>
      <c r="H11" s="22">
        <v>0</v>
      </c>
      <c r="I11" s="19"/>
      <c r="J11" s="20"/>
      <c r="K11" s="93" t="s">
        <v>21</v>
      </c>
      <c r="L11" s="93"/>
      <c r="M11" s="93"/>
      <c r="N11" s="28"/>
      <c r="O11" s="46"/>
      <c r="P11" s="69"/>
      <c r="Q11" s="70"/>
      <c r="R11" s="70"/>
      <c r="S11" s="75"/>
      <c r="T11" s="76"/>
      <c r="W11" s="33"/>
    </row>
    <row r="12" spans="2:25" ht="22.9" customHeight="1">
      <c r="B12" s="13"/>
      <c r="C12" s="21" t="s">
        <v>22</v>
      </c>
      <c r="D12" s="26">
        <f>D10+D11</f>
        <v>25</v>
      </c>
      <c r="E12" s="19"/>
      <c r="F12" s="20"/>
      <c r="G12" s="21" t="s">
        <v>23</v>
      </c>
      <c r="H12" s="27">
        <v>0.01</v>
      </c>
      <c r="I12" s="19"/>
      <c r="J12" s="20"/>
      <c r="K12" s="93"/>
      <c r="L12" s="93"/>
      <c r="M12" s="93"/>
      <c r="N12" s="28"/>
      <c r="O12" s="46"/>
      <c r="P12" s="69"/>
      <c r="Q12" s="70"/>
      <c r="R12" s="70"/>
      <c r="S12" s="75"/>
      <c r="T12" s="76"/>
      <c r="W12" s="33"/>
    </row>
    <row r="13" spans="2:25" ht="22.9" customHeight="1">
      <c r="B13" s="13"/>
      <c r="C13" s="21"/>
      <c r="D13" s="28"/>
      <c r="E13" s="19"/>
      <c r="F13" s="20"/>
      <c r="G13" s="29" t="s">
        <v>24</v>
      </c>
      <c r="H13" s="30">
        <f>D12+H7+H10+L8*(H8+H11+H12)*L7</f>
        <v>40.773892799999999</v>
      </c>
      <c r="I13" s="19"/>
      <c r="J13" s="20"/>
      <c r="K13" s="21"/>
      <c r="L13" s="53"/>
      <c r="M13" s="28"/>
      <c r="N13" s="28"/>
      <c r="O13" s="46"/>
      <c r="P13" s="69"/>
      <c r="Q13" s="70"/>
      <c r="R13" s="70"/>
      <c r="S13" s="75"/>
      <c r="T13" s="76"/>
      <c r="W13" s="33"/>
    </row>
    <row r="14" spans="2:25" ht="13.15" customHeight="1">
      <c r="B14" s="31"/>
      <c r="C14" s="32"/>
      <c r="D14" s="32"/>
      <c r="E14" s="32"/>
      <c r="F14" s="32"/>
      <c r="G14" s="32"/>
      <c r="H14" s="32"/>
      <c r="I14" s="32"/>
      <c r="J14" s="32"/>
      <c r="K14" s="32"/>
      <c r="L14" s="32"/>
      <c r="M14" s="32"/>
      <c r="N14" s="32"/>
      <c r="O14" s="46"/>
      <c r="P14" s="71"/>
      <c r="Q14" s="72"/>
      <c r="R14" s="72"/>
      <c r="S14" s="77"/>
      <c r="T14" s="78"/>
      <c r="W14" s="33"/>
    </row>
    <row r="15" spans="2:25">
      <c r="P15" s="86" t="s">
        <v>25</v>
      </c>
      <c r="Q15" s="87"/>
      <c r="R15" s="87"/>
      <c r="S15" s="87"/>
      <c r="T15" s="88"/>
      <c r="W15" s="33" t="s">
        <v>1</v>
      </c>
    </row>
    <row r="16" spans="2:25">
      <c r="L16"/>
      <c r="P16" s="89"/>
      <c r="Q16" s="90"/>
      <c r="R16" s="90"/>
      <c r="S16" s="90"/>
      <c r="T16" s="91"/>
      <c r="W16" s="33"/>
    </row>
    <row r="17" spans="2:23" ht="16.149999999999999" customHeight="1">
      <c r="B17" s="101" t="s">
        <v>26</v>
      </c>
      <c r="C17" s="102"/>
      <c r="D17" s="102"/>
      <c r="E17" s="102"/>
      <c r="F17" s="102"/>
      <c r="G17" s="103"/>
      <c r="H17" s="33"/>
      <c r="I17" s="33"/>
      <c r="J17" s="33"/>
      <c r="K17" s="33"/>
      <c r="W17" s="33"/>
    </row>
    <row r="18" spans="2:23" ht="16.149999999999999" customHeight="1">
      <c r="B18" s="104"/>
      <c r="C18" s="105"/>
      <c r="D18" s="105"/>
      <c r="E18" s="105"/>
      <c r="F18" s="105"/>
      <c r="G18" s="106"/>
      <c r="W18" s="33"/>
    </row>
    <row r="19" spans="2:23" ht="19.149999999999999" customHeight="1">
      <c r="B19" s="13"/>
      <c r="C19" s="34"/>
      <c r="D19" s="34"/>
      <c r="E19" s="34"/>
      <c r="F19" s="34"/>
      <c r="G19" s="34"/>
      <c r="H19" s="9"/>
      <c r="I19" s="9"/>
      <c r="J19" s="9"/>
      <c r="K19" s="9"/>
      <c r="L19" s="9"/>
      <c r="M19" s="9"/>
      <c r="N19" s="45"/>
      <c r="O19" s="9"/>
      <c r="P19" s="9"/>
      <c r="Q19" s="9"/>
      <c r="R19" s="9"/>
      <c r="S19" s="9"/>
      <c r="T19" s="63"/>
      <c r="W19" s="33"/>
    </row>
    <row r="20" spans="2:23" ht="34.15" customHeight="1">
      <c r="B20" s="10"/>
      <c r="C20" s="107" t="s">
        <v>27</v>
      </c>
      <c r="D20" s="108"/>
      <c r="E20" s="11"/>
      <c r="F20" s="12"/>
      <c r="G20" s="109" t="s">
        <v>28</v>
      </c>
      <c r="H20" s="109"/>
      <c r="I20" s="11"/>
      <c r="J20" s="12"/>
      <c r="K20" s="110" t="s">
        <v>4</v>
      </c>
      <c r="L20" s="110"/>
      <c r="M20" s="110"/>
      <c r="N20" s="54"/>
      <c r="O20" s="55"/>
      <c r="P20" s="92" t="s">
        <v>5</v>
      </c>
      <c r="Q20" s="92"/>
      <c r="R20" s="92"/>
      <c r="S20" s="92"/>
      <c r="T20" s="64"/>
      <c r="W20" s="33" t="s">
        <v>1</v>
      </c>
    </row>
    <row r="21" spans="2:23" ht="19.149999999999999" customHeight="1">
      <c r="B21" s="13"/>
      <c r="C21" s="14"/>
      <c r="D21" s="14"/>
      <c r="E21" s="15"/>
      <c r="F21" s="16"/>
      <c r="G21" s="14"/>
      <c r="H21" s="14"/>
      <c r="I21" s="15"/>
      <c r="J21" s="16"/>
      <c r="K21" s="14"/>
      <c r="L21" s="14"/>
      <c r="M21" s="14"/>
      <c r="N21" s="56"/>
      <c r="O21" s="55"/>
      <c r="P21" s="34"/>
      <c r="Q21" s="34"/>
      <c r="R21" s="34"/>
      <c r="S21" s="34"/>
      <c r="T21" s="64"/>
      <c r="W21" s="33"/>
    </row>
    <row r="22" spans="2:23" ht="19.149999999999999" customHeight="1">
      <c r="B22" s="13"/>
      <c r="C22" s="17" t="s">
        <v>6</v>
      </c>
      <c r="D22" s="18">
        <v>20</v>
      </c>
      <c r="E22" s="19"/>
      <c r="F22" s="20"/>
      <c r="G22" s="21" t="s">
        <v>29</v>
      </c>
      <c r="H22" s="35">
        <v>3.92</v>
      </c>
      <c r="I22" s="19"/>
      <c r="J22" s="20"/>
      <c r="K22" s="21" t="s">
        <v>7</v>
      </c>
      <c r="L22" s="57">
        <v>2.4</v>
      </c>
      <c r="M22" s="28"/>
      <c r="N22" s="19"/>
      <c r="O22" s="55"/>
      <c r="P22" s="21" t="s">
        <v>8</v>
      </c>
      <c r="Q22" s="18">
        <v>7.12</v>
      </c>
      <c r="R22" s="34"/>
      <c r="S22" s="34"/>
      <c r="T22" s="64"/>
      <c r="W22" s="33"/>
    </row>
    <row r="23" spans="2:23" ht="19.149999999999999" customHeight="1">
      <c r="B23" s="13"/>
      <c r="C23" s="21" t="s">
        <v>10</v>
      </c>
      <c r="D23" s="18">
        <v>8.1000000000000003E-2</v>
      </c>
      <c r="E23" s="19"/>
      <c r="F23" s="20"/>
      <c r="G23" s="21" t="s">
        <v>30</v>
      </c>
      <c r="H23" s="35">
        <v>0</v>
      </c>
      <c r="I23" s="19"/>
      <c r="J23" s="20"/>
      <c r="K23" s="21" t="s">
        <v>31</v>
      </c>
      <c r="L23" s="58">
        <v>0.1</v>
      </c>
      <c r="M23" s="28"/>
      <c r="N23" s="19"/>
      <c r="O23" s="55"/>
      <c r="P23" s="21" t="s">
        <v>12</v>
      </c>
      <c r="Q23" s="50">
        <v>18.989999999999998</v>
      </c>
      <c r="R23" s="34"/>
      <c r="S23" s="34"/>
      <c r="T23" s="64"/>
      <c r="W23" s="33"/>
    </row>
    <row r="24" spans="2:23" ht="19.149999999999999" customHeight="1">
      <c r="B24" s="13"/>
      <c r="C24" s="21" t="s">
        <v>32</v>
      </c>
      <c r="D24" s="36">
        <f>D22*D23</f>
        <v>1.62</v>
      </c>
      <c r="E24" s="19"/>
      <c r="F24" s="20"/>
      <c r="G24" s="21" t="s">
        <v>14</v>
      </c>
      <c r="H24" s="37">
        <v>2.4899999999999999E-2</v>
      </c>
      <c r="I24" s="19"/>
      <c r="J24" s="20"/>
      <c r="K24" s="21" t="s">
        <v>20</v>
      </c>
      <c r="L24" s="59"/>
      <c r="M24" s="28"/>
      <c r="N24" s="19"/>
      <c r="O24" s="55"/>
      <c r="P24" s="21" t="s">
        <v>15</v>
      </c>
      <c r="Q24" s="61">
        <f>(Q23*(1-H25-L24-L25-L23)-H22-H23)*Q22-L22-H29-D24</f>
        <v>71.40460626111998</v>
      </c>
      <c r="R24" s="34"/>
      <c r="S24" s="34"/>
      <c r="T24" s="64"/>
      <c r="W24" s="33"/>
    </row>
    <row r="25" spans="2:23" ht="19.149999999999999" customHeight="1">
      <c r="B25" s="13"/>
      <c r="C25" s="21"/>
      <c r="D25" s="28"/>
      <c r="E25" s="19"/>
      <c r="F25" s="20"/>
      <c r="G25" s="21" t="s">
        <v>11</v>
      </c>
      <c r="H25" s="23">
        <v>0.12</v>
      </c>
      <c r="I25" s="19"/>
      <c r="J25" s="20"/>
      <c r="K25" s="21" t="s">
        <v>23</v>
      </c>
      <c r="L25" s="60">
        <v>0.01</v>
      </c>
      <c r="M25" s="28"/>
      <c r="N25" s="19"/>
      <c r="O25" s="55"/>
      <c r="P25" s="34"/>
      <c r="Q25" s="34"/>
      <c r="R25" s="34"/>
      <c r="S25" s="34"/>
      <c r="T25" s="64"/>
      <c r="V25" s="33" t="s">
        <v>1</v>
      </c>
      <c r="W25" s="33"/>
    </row>
    <row r="26" spans="2:23" ht="19.149999999999999" customHeight="1">
      <c r="B26" s="13"/>
      <c r="C26" s="93" t="s">
        <v>21</v>
      </c>
      <c r="D26" s="93"/>
      <c r="E26" s="19"/>
      <c r="F26" s="20"/>
      <c r="G26" s="21" t="s">
        <v>33</v>
      </c>
      <c r="H26" s="38">
        <v>2.9</v>
      </c>
      <c r="I26" s="19"/>
      <c r="J26" s="20"/>
      <c r="K26" s="21" t="s">
        <v>24</v>
      </c>
      <c r="L26" s="61">
        <f>(Q23*(H25+L24+L25+L23)+H22+H23)*Q22+L22+H29+D24</f>
        <v>63.804193738880002</v>
      </c>
      <c r="M26" s="28"/>
      <c r="N26" s="19"/>
      <c r="O26" s="55"/>
      <c r="P26" s="66" t="s">
        <v>21</v>
      </c>
      <c r="Q26" s="34"/>
      <c r="R26" s="34"/>
      <c r="S26" s="34"/>
      <c r="T26" s="64"/>
      <c r="V26" s="33"/>
      <c r="W26" s="33"/>
    </row>
    <row r="27" spans="2:23" ht="19.149999999999999" customHeight="1">
      <c r="B27" s="13"/>
      <c r="C27" s="93"/>
      <c r="D27" s="93"/>
      <c r="E27" s="19"/>
      <c r="F27" s="20"/>
      <c r="G27" s="21" t="s">
        <v>34</v>
      </c>
      <c r="H27" s="39">
        <v>5.6800000000000003E-2</v>
      </c>
      <c r="I27" s="19"/>
      <c r="J27" s="20"/>
      <c r="K27" s="21"/>
      <c r="L27" s="62"/>
      <c r="M27" s="28"/>
      <c r="N27" s="19"/>
      <c r="O27" s="55"/>
      <c r="P27" s="66"/>
      <c r="Q27" s="34"/>
      <c r="R27" s="34"/>
      <c r="S27" s="34"/>
      <c r="T27" s="64"/>
      <c r="V27" s="33"/>
      <c r="W27" s="33"/>
    </row>
    <row r="28" spans="2:23" ht="19.149999999999999" customHeight="1">
      <c r="B28" s="13"/>
      <c r="C28" s="93"/>
      <c r="D28" s="93"/>
      <c r="E28" s="19"/>
      <c r="F28" s="20"/>
      <c r="G28" s="21" t="s">
        <v>35</v>
      </c>
      <c r="H28" s="40">
        <f>MAX(0,H24-H27)</f>
        <v>0</v>
      </c>
      <c r="I28" s="19"/>
      <c r="J28" s="20"/>
      <c r="K28" s="21"/>
      <c r="L28" s="62"/>
      <c r="M28" s="28"/>
      <c r="N28" s="19"/>
      <c r="O28" s="55"/>
      <c r="P28" s="66"/>
      <c r="Q28" s="34"/>
      <c r="R28" s="34"/>
      <c r="S28" s="34"/>
      <c r="T28" s="64"/>
      <c r="V28" s="33"/>
      <c r="W28" s="33"/>
    </row>
    <row r="29" spans="2:23" ht="19.149999999999999" customHeight="1">
      <c r="B29" s="13"/>
      <c r="C29" s="93"/>
      <c r="D29" s="93"/>
      <c r="E29" s="19"/>
      <c r="F29" s="20"/>
      <c r="G29" s="21" t="s">
        <v>18</v>
      </c>
      <c r="H29" s="41">
        <f>(((H22+Q23*H25*20%)*H24)+(H28*H26))*Q22</f>
        <v>0.77576973887999989</v>
      </c>
      <c r="I29" s="19"/>
      <c r="J29" s="20"/>
      <c r="K29" s="21"/>
      <c r="L29" s="53"/>
      <c r="M29" s="28"/>
      <c r="N29" s="19"/>
      <c r="O29" s="55"/>
      <c r="P29" s="66"/>
      <c r="Q29" s="34"/>
      <c r="R29" s="34"/>
      <c r="S29" s="34"/>
      <c r="T29" s="64"/>
      <c r="V29" s="33"/>
      <c r="W29" s="33"/>
    </row>
    <row r="30" spans="2:23" ht="19.149999999999999" customHeight="1">
      <c r="B30" s="13"/>
      <c r="C30" s="93"/>
      <c r="D30" s="93"/>
      <c r="E30" s="19"/>
      <c r="F30" s="20"/>
      <c r="G30" s="29" t="s">
        <v>36</v>
      </c>
      <c r="H30" s="42">
        <f>((H22+H23+H26)*Q22)+H29</f>
        <v>49.334169738880007</v>
      </c>
      <c r="I30" s="19"/>
      <c r="J30" s="20"/>
      <c r="K30" s="21"/>
      <c r="L30" s="53"/>
      <c r="M30" s="28"/>
      <c r="N30" s="19"/>
      <c r="O30" s="55"/>
      <c r="P30" s="66"/>
      <c r="Q30" s="34"/>
      <c r="R30" s="34"/>
      <c r="S30" s="34"/>
      <c r="T30" s="64"/>
      <c r="V30" s="33" t="s">
        <v>1</v>
      </c>
      <c r="W30" s="33"/>
    </row>
    <row r="31" spans="2:23" ht="19.149999999999999" customHeight="1">
      <c r="B31" s="31"/>
      <c r="C31" s="32"/>
      <c r="D31" s="32"/>
      <c r="E31" s="32"/>
      <c r="F31" s="32"/>
      <c r="G31" s="32"/>
      <c r="H31" s="32"/>
      <c r="I31" s="32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65"/>
      <c r="V31" s="33"/>
    </row>
    <row r="32" spans="2:23" ht="19.149999999999999" customHeight="1">
      <c r="D32" s="33"/>
      <c r="E32" s="33" t="s">
        <v>1</v>
      </c>
      <c r="F32" s="33"/>
      <c r="G32" s="33"/>
      <c r="H32" s="43"/>
      <c r="I32" s="33" t="s">
        <v>1</v>
      </c>
      <c r="J32" s="33"/>
      <c r="K32" s="33"/>
      <c r="L32" s="33" t="s">
        <v>1</v>
      </c>
      <c r="M32" s="33"/>
      <c r="N32" s="33"/>
      <c r="O32" s="33"/>
      <c r="V32" s="33"/>
    </row>
    <row r="33" spans="2:24" ht="19.149999999999999" customHeight="1">
      <c r="B33" s="111" t="s">
        <v>37</v>
      </c>
      <c r="C33" s="112"/>
      <c r="D33" s="112"/>
      <c r="E33" s="112"/>
      <c r="F33" s="112"/>
      <c r="G33" s="113"/>
      <c r="K33"/>
      <c r="O33"/>
    </row>
    <row r="34" spans="2:24" ht="19.149999999999999" customHeight="1">
      <c r="B34" s="114"/>
      <c r="C34" s="115"/>
      <c r="D34" s="115"/>
      <c r="E34" s="115"/>
      <c r="F34" s="115"/>
      <c r="G34" s="116"/>
    </row>
    <row r="35" spans="2:24" ht="19.149999999999999" customHeight="1">
      <c r="B35" s="13"/>
      <c r="C35" s="34"/>
      <c r="D35" s="34"/>
      <c r="E35" s="34"/>
      <c r="F35" s="34"/>
      <c r="G35" s="34"/>
      <c r="H35" s="9"/>
      <c r="I35" s="9"/>
      <c r="J35" s="9"/>
      <c r="K35" s="9"/>
      <c r="L35" s="9"/>
      <c r="M35" s="9"/>
      <c r="N35" s="45"/>
      <c r="O35" s="9"/>
      <c r="P35" s="9"/>
      <c r="Q35" s="9"/>
      <c r="R35" s="9"/>
      <c r="S35" s="9"/>
      <c r="T35" s="63"/>
    </row>
    <row r="36" spans="2:24" ht="19.149999999999999" customHeight="1">
      <c r="B36" s="10"/>
      <c r="C36" s="107" t="s">
        <v>27</v>
      </c>
      <c r="D36" s="108"/>
      <c r="E36" s="11"/>
      <c r="F36" s="12"/>
      <c r="G36" s="109" t="s">
        <v>28</v>
      </c>
      <c r="H36" s="109"/>
      <c r="I36" s="11"/>
      <c r="J36" s="12"/>
      <c r="K36" s="110" t="s">
        <v>4</v>
      </c>
      <c r="L36" s="110"/>
      <c r="M36" s="110"/>
      <c r="N36" s="54"/>
      <c r="O36" s="55"/>
      <c r="P36" s="92" t="s">
        <v>5</v>
      </c>
      <c r="Q36" s="92"/>
      <c r="R36" s="92"/>
      <c r="S36" s="92"/>
      <c r="T36" s="64"/>
    </row>
    <row r="37" spans="2:24" ht="19.149999999999999" customHeight="1">
      <c r="B37" s="13"/>
      <c r="C37" s="14"/>
      <c r="D37" s="14"/>
      <c r="E37" s="15"/>
      <c r="F37" s="16"/>
      <c r="G37" s="14"/>
      <c r="H37" s="14"/>
      <c r="I37" s="15"/>
      <c r="J37" s="16"/>
      <c r="K37" s="14"/>
      <c r="L37" s="14"/>
      <c r="M37" s="14"/>
      <c r="N37" s="56"/>
      <c r="O37" s="55"/>
      <c r="P37" s="34"/>
      <c r="Q37" s="34"/>
      <c r="R37" s="34"/>
      <c r="S37" s="34"/>
      <c r="T37" s="64"/>
    </row>
    <row r="38" spans="2:24" ht="19.149999999999999" customHeight="1">
      <c r="B38" s="13"/>
      <c r="C38" s="17" t="s">
        <v>6</v>
      </c>
      <c r="D38" s="18">
        <v>12</v>
      </c>
      <c r="E38" s="19"/>
      <c r="F38" s="20"/>
      <c r="G38" s="21" t="s">
        <v>29</v>
      </c>
      <c r="H38" s="35">
        <v>4.9000000000000004</v>
      </c>
      <c r="I38" s="19"/>
      <c r="J38" s="20"/>
      <c r="K38" s="21" t="s">
        <v>7</v>
      </c>
      <c r="L38" s="57">
        <v>80</v>
      </c>
      <c r="M38" s="28"/>
      <c r="N38" s="19"/>
      <c r="O38" s="55"/>
      <c r="P38" s="21" t="s">
        <v>8</v>
      </c>
      <c r="Q38" s="18">
        <v>7.2619999999999996</v>
      </c>
      <c r="R38" s="34"/>
      <c r="S38" s="34"/>
      <c r="T38" s="64"/>
    </row>
    <row r="39" spans="2:24" ht="19.149999999999999" customHeight="1">
      <c r="B39" s="13"/>
      <c r="C39" s="21" t="s">
        <v>10</v>
      </c>
      <c r="D39" s="18">
        <v>0.8</v>
      </c>
      <c r="E39" s="19"/>
      <c r="F39" s="20"/>
      <c r="G39" s="21" t="s">
        <v>30</v>
      </c>
      <c r="H39" s="35">
        <v>0.4</v>
      </c>
      <c r="I39" s="19"/>
      <c r="J39" s="20"/>
      <c r="K39" s="21" t="s">
        <v>31</v>
      </c>
      <c r="L39" s="58">
        <v>0.15</v>
      </c>
      <c r="M39" s="28"/>
      <c r="N39" s="19"/>
      <c r="O39" s="55"/>
      <c r="P39" s="21" t="s">
        <v>12</v>
      </c>
      <c r="Q39" s="50">
        <v>79.989999999999995</v>
      </c>
      <c r="R39" s="34"/>
      <c r="S39" s="34"/>
      <c r="T39" s="64"/>
    </row>
    <row r="40" spans="2:24" ht="19.149999999999999" customHeight="1">
      <c r="B40" s="13"/>
      <c r="C40" s="21" t="s">
        <v>32</v>
      </c>
      <c r="D40" s="36">
        <f>D38*D39</f>
        <v>9.6000000000000014</v>
      </c>
      <c r="E40" s="19"/>
      <c r="F40" s="20"/>
      <c r="G40" s="21" t="s">
        <v>14</v>
      </c>
      <c r="H40" s="37">
        <v>0.1</v>
      </c>
      <c r="I40" s="19"/>
      <c r="J40" s="20"/>
      <c r="K40" s="21" t="s">
        <v>20</v>
      </c>
      <c r="L40" s="59"/>
      <c r="M40" s="28"/>
      <c r="N40" s="19"/>
      <c r="O40" s="55"/>
      <c r="P40" s="21" t="s">
        <v>15</v>
      </c>
      <c r="Q40" s="61">
        <f>(Q39*(1-H41-L40-L41-L39)-H38-H39)*Q38-L38-H45-D40</f>
        <v>258.06251385999997</v>
      </c>
      <c r="R40" s="34"/>
      <c r="S40" s="34"/>
      <c r="T40" s="64"/>
    </row>
    <row r="41" spans="2:24" ht="19.149999999999999" customHeight="1">
      <c r="B41" s="13"/>
      <c r="C41" s="21"/>
      <c r="D41" s="28"/>
      <c r="E41" s="19"/>
      <c r="F41" s="20"/>
      <c r="G41" s="21" t="s">
        <v>11</v>
      </c>
      <c r="H41" s="23">
        <v>0.15</v>
      </c>
      <c r="I41" s="19"/>
      <c r="J41" s="20"/>
      <c r="K41" s="21" t="s">
        <v>23</v>
      </c>
      <c r="L41" s="60">
        <v>0.01</v>
      </c>
      <c r="M41" s="28"/>
      <c r="N41" s="19"/>
      <c r="O41" s="55"/>
      <c r="P41" s="34"/>
      <c r="Q41" s="34"/>
      <c r="R41" s="34"/>
      <c r="S41" s="34"/>
      <c r="T41" s="64"/>
    </row>
    <row r="42" spans="2:24" ht="17.25">
      <c r="B42" s="13"/>
      <c r="C42" s="93" t="s">
        <v>21</v>
      </c>
      <c r="D42" s="93"/>
      <c r="E42" s="19"/>
      <c r="F42" s="20"/>
      <c r="G42" s="21" t="s">
        <v>33</v>
      </c>
      <c r="H42" s="38">
        <v>2.9</v>
      </c>
      <c r="I42" s="19"/>
      <c r="J42" s="20"/>
      <c r="K42" s="21" t="s">
        <v>24</v>
      </c>
      <c r="L42" s="61">
        <f>(Q39*(H41+L40+L41+L39)+H38+H39)*Q38+L38+H45+D40</f>
        <v>322.82486613999998</v>
      </c>
      <c r="M42" s="28"/>
      <c r="N42" s="19"/>
      <c r="O42" s="55"/>
      <c r="P42" s="66" t="s">
        <v>21</v>
      </c>
      <c r="Q42" s="34"/>
      <c r="R42" s="34"/>
      <c r="S42" s="34"/>
      <c r="T42" s="64"/>
      <c r="X42" s="33" t="s">
        <v>21</v>
      </c>
    </row>
    <row r="43" spans="2:24" ht="17.25">
      <c r="B43" s="13"/>
      <c r="C43" s="93"/>
      <c r="D43" s="93"/>
      <c r="E43" s="19"/>
      <c r="F43" s="20"/>
      <c r="G43" s="21" t="s">
        <v>34</v>
      </c>
      <c r="H43" s="39">
        <v>8.1000000000000003E-2</v>
      </c>
      <c r="I43" s="19"/>
      <c r="J43" s="20"/>
      <c r="K43" s="21"/>
      <c r="L43" s="62"/>
      <c r="M43" s="28"/>
      <c r="N43" s="19"/>
      <c r="O43" s="55"/>
      <c r="P43" s="66"/>
      <c r="Q43" s="34"/>
      <c r="R43" s="34"/>
      <c r="S43" s="34"/>
      <c r="T43" s="64"/>
    </row>
    <row r="44" spans="2:24" ht="17.25">
      <c r="B44" s="13"/>
      <c r="C44" s="93"/>
      <c r="D44" s="93"/>
      <c r="E44" s="19"/>
      <c r="F44" s="20"/>
      <c r="G44" s="21" t="s">
        <v>35</v>
      </c>
      <c r="H44" s="40">
        <f>MAX(0,H40-H43)</f>
        <v>1.9000000000000003E-2</v>
      </c>
      <c r="I44" s="19"/>
      <c r="J44" s="20"/>
      <c r="K44" s="21"/>
      <c r="L44" s="62"/>
      <c r="M44" s="28"/>
      <c r="N44" s="19"/>
      <c r="O44" s="55"/>
      <c r="P44" s="66"/>
      <c r="Q44" s="34"/>
      <c r="R44" s="34"/>
      <c r="S44" s="34"/>
      <c r="T44" s="64"/>
    </row>
    <row r="45" spans="2:24" ht="17.25">
      <c r="B45" s="13"/>
      <c r="C45" s="93"/>
      <c r="D45" s="93"/>
      <c r="E45" s="19"/>
      <c r="F45" s="20"/>
      <c r="G45" s="21" t="s">
        <v>18</v>
      </c>
      <c r="H45" s="41">
        <f>(((H38+((L38+D40)/Q38)+Q39*H41*20%)*H40)+(H44*H42))*Q38</f>
        <v>14.661178339999999</v>
      </c>
      <c r="I45" s="19"/>
      <c r="J45" s="20"/>
      <c r="K45" s="21"/>
      <c r="L45" s="53"/>
      <c r="M45" s="28"/>
      <c r="N45" s="19"/>
      <c r="O45" s="55"/>
      <c r="P45" s="66"/>
      <c r="Q45" s="34"/>
      <c r="R45" s="34"/>
      <c r="S45" s="34"/>
      <c r="T45" s="64"/>
    </row>
    <row r="46" spans="2:24" ht="17.25">
      <c r="B46" s="13"/>
      <c r="C46" s="93"/>
      <c r="D46" s="93"/>
      <c r="E46" s="19"/>
      <c r="F46" s="20"/>
      <c r="G46" s="29" t="s">
        <v>36</v>
      </c>
      <c r="H46" s="42">
        <f>((H38+H39+H42)*Q38)+H45</f>
        <v>74.209578340000007</v>
      </c>
      <c r="I46" s="19"/>
      <c r="J46" s="20"/>
      <c r="K46" s="21"/>
      <c r="L46" s="53"/>
      <c r="M46" s="28"/>
      <c r="N46" s="19"/>
      <c r="O46" s="55"/>
      <c r="P46" s="66"/>
      <c r="Q46" s="34"/>
      <c r="R46" s="34"/>
      <c r="S46" s="34"/>
      <c r="T46" s="64"/>
    </row>
    <row r="47" spans="2:24">
      <c r="B47" s="31"/>
      <c r="C47" s="32"/>
      <c r="D47" s="32"/>
      <c r="E47" s="32"/>
      <c r="F47" s="32"/>
      <c r="G47" s="32"/>
      <c r="H47" s="32"/>
      <c r="I47" s="32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65"/>
    </row>
    <row r="52" spans="23:23">
      <c r="W52" s="33" t="s">
        <v>21</v>
      </c>
    </row>
  </sheetData>
  <sheetProtection password="86AE" sheet="1" objects="1" selectLockedCells="1"/>
  <mergeCells count="25">
    <mergeCell ref="C42:D46"/>
    <mergeCell ref="B2:F3"/>
    <mergeCell ref="G2:K3"/>
    <mergeCell ref="K11:M12"/>
    <mergeCell ref="C26:D30"/>
    <mergeCell ref="B17:G18"/>
    <mergeCell ref="C36:D36"/>
    <mergeCell ref="G36:H36"/>
    <mergeCell ref="K36:M36"/>
    <mergeCell ref="B33:G34"/>
    <mergeCell ref="C5:D5"/>
    <mergeCell ref="G5:H5"/>
    <mergeCell ref="K5:M5"/>
    <mergeCell ref="C20:D20"/>
    <mergeCell ref="G20:H20"/>
    <mergeCell ref="K20:M20"/>
    <mergeCell ref="P42:P46"/>
    <mergeCell ref="P9:R14"/>
    <mergeCell ref="S4:T14"/>
    <mergeCell ref="P4:R6"/>
    <mergeCell ref="P7:R8"/>
    <mergeCell ref="P15:T16"/>
    <mergeCell ref="P20:S20"/>
    <mergeCell ref="P36:S36"/>
    <mergeCell ref="P26:P30"/>
  </mergeCells>
  <phoneticPr fontId="24" type="noConversion"/>
  <hyperlinks>
    <hyperlink ref="S4:T14" r:id="rId1" display="点此查看使用教程" xr:uid="{00000000-0004-0000-0000-000000000000}"/>
  </hyperlinks>
  <pageMargins left="0.75" right="0.75" top="1" bottom="1" header="0.5" footer="0.5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35"/>
  <sheetViews>
    <sheetView topLeftCell="A7" zoomScale="145" zoomScaleNormal="145" workbookViewId="0">
      <selection activeCell="B28" sqref="B28"/>
    </sheetView>
  </sheetViews>
  <sheetFormatPr defaultColWidth="8.875" defaultRowHeight="13.5"/>
  <cols>
    <col min="1" max="1" width="27" style="1" customWidth="1"/>
    <col min="2" max="2" width="28.125" style="1" customWidth="1"/>
    <col min="3" max="16384" width="8.875" style="1"/>
  </cols>
  <sheetData>
    <row r="1" spans="1:2">
      <c r="A1" s="118" t="s">
        <v>38</v>
      </c>
      <c r="B1" s="2" t="s">
        <v>39</v>
      </c>
    </row>
    <row r="2" spans="1:2">
      <c r="A2" s="119"/>
      <c r="B2" s="3" t="s">
        <v>40</v>
      </c>
    </row>
    <row r="3" spans="1:2">
      <c r="A3" s="4" t="s">
        <v>41</v>
      </c>
      <c r="B3" s="5">
        <v>0.113</v>
      </c>
    </row>
    <row r="4" spans="1:2">
      <c r="A4" s="4" t="s">
        <v>42</v>
      </c>
      <c r="B4" s="5">
        <v>9.0999999999999998E-2</v>
      </c>
    </row>
    <row r="5" spans="1:2">
      <c r="A5" s="4" t="s">
        <v>43</v>
      </c>
      <c r="B5" s="5">
        <v>9.2999999999999999E-2</v>
      </c>
    </row>
    <row r="6" spans="1:2">
      <c r="A6" s="4" t="s">
        <v>44</v>
      </c>
      <c r="B6" s="5">
        <v>0.128</v>
      </c>
    </row>
    <row r="7" spans="1:2">
      <c r="A7" s="4" t="s">
        <v>45</v>
      </c>
      <c r="B7" s="5">
        <v>7.0999999999999994E-2</v>
      </c>
    </row>
    <row r="8" spans="1:2">
      <c r="A8" s="4" t="s">
        <v>46</v>
      </c>
      <c r="B8" s="5">
        <v>5.5E-2</v>
      </c>
    </row>
    <row r="9" spans="1:2">
      <c r="A9" s="4" t="s">
        <v>47</v>
      </c>
      <c r="B9" s="5">
        <v>0.06</v>
      </c>
    </row>
    <row r="10" spans="1:2">
      <c r="A10" s="4" t="s">
        <v>48</v>
      </c>
      <c r="B10" s="5">
        <v>0.126</v>
      </c>
    </row>
    <row r="11" spans="1:2">
      <c r="A11" s="4" t="s">
        <v>49</v>
      </c>
      <c r="B11" s="5">
        <v>0.114</v>
      </c>
    </row>
    <row r="12" spans="1:2">
      <c r="A12" s="4" t="s">
        <v>50</v>
      </c>
      <c r="B12" s="5">
        <v>0.112</v>
      </c>
    </row>
    <row r="13" spans="1:2">
      <c r="A13" s="4" t="s">
        <v>51</v>
      </c>
      <c r="B13" s="5">
        <v>8.7999999999999995E-2</v>
      </c>
    </row>
    <row r="14" spans="1:2">
      <c r="A14" s="4" t="s">
        <v>52</v>
      </c>
      <c r="B14" s="5">
        <v>4.8000000000000001E-2</v>
      </c>
    </row>
    <row r="15" spans="1:2">
      <c r="A15" s="4" t="s">
        <v>53</v>
      </c>
      <c r="B15" s="5">
        <v>0.121</v>
      </c>
    </row>
    <row r="16" spans="1:2">
      <c r="A16" s="4" t="s">
        <v>54</v>
      </c>
      <c r="B16" s="5">
        <v>5.6000000000000001E-2</v>
      </c>
    </row>
    <row r="17" spans="1:2">
      <c r="A17" s="4" t="s">
        <v>55</v>
      </c>
      <c r="B17" s="5">
        <v>0.11899999999999999</v>
      </c>
    </row>
    <row r="18" spans="1:2">
      <c r="A18" s="4" t="s">
        <v>56</v>
      </c>
      <c r="B18" s="5">
        <v>9.6000000000000002E-2</v>
      </c>
    </row>
    <row r="19" spans="1:2">
      <c r="A19" s="4" t="s">
        <v>57</v>
      </c>
      <c r="B19" s="5">
        <v>2.9000000000000001E-2</v>
      </c>
    </row>
    <row r="20" spans="1:2">
      <c r="A20" s="4" t="s">
        <v>58</v>
      </c>
      <c r="B20" s="5">
        <v>8.1000000000000003E-2</v>
      </c>
    </row>
    <row r="21" spans="1:2">
      <c r="A21" s="4" t="s">
        <v>59</v>
      </c>
      <c r="B21" s="5">
        <v>0.108</v>
      </c>
    </row>
    <row r="22" spans="1:2">
      <c r="A22" s="4" t="s">
        <v>60</v>
      </c>
      <c r="B22" s="5">
        <v>7.6999999999999999E-2</v>
      </c>
    </row>
    <row r="23" spans="1:2">
      <c r="A23" s="4" t="s">
        <v>61</v>
      </c>
      <c r="B23" s="5">
        <v>9.5000000000000001E-2</v>
      </c>
    </row>
    <row r="24" spans="1:2">
      <c r="A24" s="4" t="s">
        <v>62</v>
      </c>
      <c r="B24" s="5">
        <v>9.2999999999999999E-2</v>
      </c>
    </row>
    <row r="25" spans="1:2" ht="22.5">
      <c r="A25" s="4" t="s">
        <v>63</v>
      </c>
      <c r="B25" s="5">
        <v>5.0999999999999997E-2</v>
      </c>
    </row>
    <row r="26" spans="1:2">
      <c r="A26" s="4" t="s">
        <v>64</v>
      </c>
      <c r="B26" s="5">
        <v>9.1999999999999998E-2</v>
      </c>
    </row>
    <row r="27" spans="1:2">
      <c r="A27" s="4" t="s">
        <v>65</v>
      </c>
      <c r="B27" s="5">
        <v>4.3999999999999997E-2</v>
      </c>
    </row>
    <row r="28" spans="1:2">
      <c r="A28" s="4" t="s">
        <v>66</v>
      </c>
      <c r="B28" s="5">
        <v>0.10199999999999999</v>
      </c>
    </row>
    <row r="29" spans="1:2">
      <c r="A29" s="4" t="s">
        <v>67</v>
      </c>
      <c r="B29" s="5">
        <v>8.6999999999999994E-2</v>
      </c>
    </row>
    <row r="30" spans="1:2">
      <c r="A30" s="4" t="s">
        <v>68</v>
      </c>
      <c r="B30" s="5">
        <v>8.6999999999999994E-2</v>
      </c>
    </row>
    <row r="31" spans="1:2">
      <c r="A31" s="4" t="s">
        <v>69</v>
      </c>
      <c r="B31" s="5">
        <v>8.6999999999999994E-2</v>
      </c>
    </row>
    <row r="32" spans="1:2">
      <c r="A32" s="4" t="s">
        <v>70</v>
      </c>
      <c r="B32" s="5">
        <v>4.7E-2</v>
      </c>
    </row>
    <row r="33" spans="1:2">
      <c r="A33" s="4" t="s">
        <v>71</v>
      </c>
      <c r="B33" s="5">
        <v>0.107</v>
      </c>
    </row>
    <row r="34" spans="1:2">
      <c r="A34" s="4" t="s">
        <v>72</v>
      </c>
      <c r="B34" s="5">
        <v>6.5000000000000002E-2</v>
      </c>
    </row>
    <row r="35" spans="1:2">
      <c r="A35" s="4" t="s">
        <v>73</v>
      </c>
      <c r="B35" s="5">
        <v>0.12</v>
      </c>
    </row>
  </sheetData>
  <mergeCells count="1">
    <mergeCell ref="A1:A2"/>
  </mergeCells>
  <phoneticPr fontId="2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产品利润计算</vt:lpstr>
      <vt:lpstr>类目退货阈值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</cp:lastModifiedBy>
  <dcterms:created xsi:type="dcterms:W3CDTF">2021-04-13T02:27:00Z</dcterms:created>
  <dcterms:modified xsi:type="dcterms:W3CDTF">2025-10-26T08:11:22Z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D537057E4C294A5F9F65B6E2B2242BBD_13</vt:lpwstr>
  </property>
  <property fmtid="{D5CDD505-2E9C-101B-9397-08002B2CF9AE}" pid="3" name="KSOProductBuildVer">
    <vt:lpwstr>2052-11.8.2.8411</vt:lpwstr>
  </property>
</Properties>
</file>